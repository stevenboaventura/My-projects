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O meu disco\Projetos\MLB_Payrolls\"/>
    </mc:Choice>
  </mc:AlternateContent>
  <xr:revisionPtr revIDLastSave="0" documentId="8_{DB010E93-5029-472F-9645-81446561B4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lb_payrolls" sheetId="2" r:id="rId1"/>
    <sheet name="Pivots" sheetId="3" r:id="rId2"/>
    <sheet name="Dispersion Scatter" sheetId="5" r:id="rId3"/>
  </sheets>
  <definedNames>
    <definedName name="_xlnm._FilterDatabase" localSheetId="2" hidden="1">'Dispersion Scatter'!$A$1:$D$1</definedName>
    <definedName name="DadosExternos_1" localSheetId="0" hidden="1">mlb_payrolls!$A$1:$L$421</definedName>
  </definedNames>
  <calcPr calcId="191029"/>
  <pivotCaches>
    <pivotCache cacheId="1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6" i="5" l="1"/>
  <c r="D405" i="5"/>
  <c r="D404" i="5"/>
  <c r="D403" i="5"/>
  <c r="D402" i="5"/>
  <c r="D401" i="5"/>
  <c r="D400" i="5"/>
  <c r="D399" i="5"/>
  <c r="D398" i="5"/>
  <c r="D397" i="5"/>
  <c r="D396" i="5"/>
  <c r="D395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17" i="5"/>
  <c r="V421" i="2"/>
  <c r="U421" i="2"/>
  <c r="T421" i="2"/>
  <c r="S421" i="2"/>
  <c r="R421" i="2"/>
  <c r="P421" i="2"/>
  <c r="Q421" i="2" s="1"/>
  <c r="O421" i="2"/>
  <c r="M421" i="2"/>
  <c r="V420" i="2"/>
  <c r="U420" i="2"/>
  <c r="T420" i="2"/>
  <c r="S420" i="2"/>
  <c r="R420" i="2"/>
  <c r="P420" i="2"/>
  <c r="Q420" i="2" s="1"/>
  <c r="O420" i="2"/>
  <c r="M420" i="2"/>
  <c r="V419" i="2"/>
  <c r="U419" i="2"/>
  <c r="T419" i="2"/>
  <c r="S419" i="2"/>
  <c r="R419" i="2"/>
  <c r="P419" i="2"/>
  <c r="Q419" i="2" s="1"/>
  <c r="O419" i="2"/>
  <c r="M419" i="2"/>
  <c r="V418" i="2"/>
  <c r="U418" i="2"/>
  <c r="T418" i="2"/>
  <c r="S418" i="2"/>
  <c r="R418" i="2"/>
  <c r="P418" i="2"/>
  <c r="Q418" i="2" s="1"/>
  <c r="O418" i="2"/>
  <c r="M418" i="2"/>
  <c r="V417" i="2"/>
  <c r="U417" i="2"/>
  <c r="T417" i="2"/>
  <c r="S417" i="2"/>
  <c r="R417" i="2"/>
  <c r="P417" i="2"/>
  <c r="Q417" i="2" s="1"/>
  <c r="O417" i="2"/>
  <c r="M417" i="2"/>
  <c r="V416" i="2"/>
  <c r="U416" i="2"/>
  <c r="T416" i="2"/>
  <c r="S416" i="2"/>
  <c r="R416" i="2"/>
  <c r="P416" i="2"/>
  <c r="Q416" i="2" s="1"/>
  <c r="O416" i="2"/>
  <c r="M416" i="2"/>
  <c r="V415" i="2"/>
  <c r="U415" i="2"/>
  <c r="T415" i="2"/>
  <c r="S415" i="2"/>
  <c r="R415" i="2"/>
  <c r="P415" i="2"/>
  <c r="Q415" i="2" s="1"/>
  <c r="O415" i="2"/>
  <c r="M415" i="2"/>
  <c r="V414" i="2"/>
  <c r="U414" i="2"/>
  <c r="T414" i="2"/>
  <c r="S414" i="2"/>
  <c r="R414" i="2"/>
  <c r="P414" i="2"/>
  <c r="Q414" i="2" s="1"/>
  <c r="O414" i="2"/>
  <c r="M414" i="2"/>
  <c r="V413" i="2"/>
  <c r="U413" i="2"/>
  <c r="T413" i="2"/>
  <c r="S413" i="2"/>
  <c r="R413" i="2"/>
  <c r="P413" i="2"/>
  <c r="Q413" i="2" s="1"/>
  <c r="O413" i="2"/>
  <c r="M413" i="2"/>
  <c r="V412" i="2"/>
  <c r="U412" i="2"/>
  <c r="T412" i="2"/>
  <c r="S412" i="2"/>
  <c r="R412" i="2"/>
  <c r="P412" i="2"/>
  <c r="Q412" i="2" s="1"/>
  <c r="O412" i="2"/>
  <c r="M412" i="2"/>
  <c r="V411" i="2"/>
  <c r="U411" i="2"/>
  <c r="T411" i="2"/>
  <c r="S411" i="2"/>
  <c r="R411" i="2"/>
  <c r="P411" i="2"/>
  <c r="Q411" i="2" s="1"/>
  <c r="O411" i="2"/>
  <c r="M411" i="2"/>
  <c r="V410" i="2"/>
  <c r="U410" i="2"/>
  <c r="T410" i="2"/>
  <c r="S410" i="2"/>
  <c r="R410" i="2"/>
  <c r="P410" i="2"/>
  <c r="Q410" i="2" s="1"/>
  <c r="O410" i="2"/>
  <c r="M410" i="2"/>
  <c r="V409" i="2"/>
  <c r="U409" i="2"/>
  <c r="T409" i="2"/>
  <c r="S409" i="2"/>
  <c r="R409" i="2"/>
  <c r="P409" i="2"/>
  <c r="Q409" i="2" s="1"/>
  <c r="O409" i="2"/>
  <c r="M409" i="2"/>
  <c r="V408" i="2"/>
  <c r="U408" i="2"/>
  <c r="T408" i="2"/>
  <c r="S408" i="2"/>
  <c r="R408" i="2"/>
  <c r="P408" i="2"/>
  <c r="Q408" i="2" s="1"/>
  <c r="O408" i="2"/>
  <c r="M408" i="2"/>
  <c r="V407" i="2"/>
  <c r="U407" i="2"/>
  <c r="T407" i="2"/>
  <c r="S407" i="2"/>
  <c r="R407" i="2"/>
  <c r="P407" i="2"/>
  <c r="Q407" i="2" s="1"/>
  <c r="O407" i="2"/>
  <c r="M407" i="2"/>
  <c r="V406" i="2"/>
  <c r="U406" i="2"/>
  <c r="T406" i="2"/>
  <c r="S406" i="2"/>
  <c r="R406" i="2"/>
  <c r="P406" i="2"/>
  <c r="Q406" i="2" s="1"/>
  <c r="O406" i="2"/>
  <c r="M406" i="2"/>
  <c r="N406" i="2" s="1"/>
  <c r="V405" i="2"/>
  <c r="U405" i="2"/>
  <c r="T405" i="2"/>
  <c r="S405" i="2"/>
  <c r="R405" i="2"/>
  <c r="P405" i="2"/>
  <c r="Q405" i="2" s="1"/>
  <c r="O405" i="2"/>
  <c r="M405" i="2"/>
  <c r="N405" i="2" s="1"/>
  <c r="V404" i="2"/>
  <c r="U404" i="2"/>
  <c r="T404" i="2"/>
  <c r="S404" i="2"/>
  <c r="R404" i="2"/>
  <c r="P404" i="2"/>
  <c r="Q404" i="2" s="1"/>
  <c r="O404" i="2"/>
  <c r="M404" i="2"/>
  <c r="N404" i="2" s="1"/>
  <c r="V403" i="2"/>
  <c r="U403" i="2"/>
  <c r="T403" i="2"/>
  <c r="S403" i="2"/>
  <c r="R403" i="2"/>
  <c r="P403" i="2"/>
  <c r="Q403" i="2" s="1"/>
  <c r="O403" i="2"/>
  <c r="M403" i="2"/>
  <c r="N403" i="2" s="1"/>
  <c r="V402" i="2"/>
  <c r="U402" i="2"/>
  <c r="T402" i="2"/>
  <c r="S402" i="2"/>
  <c r="R402" i="2"/>
  <c r="P402" i="2"/>
  <c r="Q402" i="2" s="1"/>
  <c r="O402" i="2"/>
  <c r="M402" i="2"/>
  <c r="N402" i="2" s="1"/>
  <c r="V401" i="2"/>
  <c r="U401" i="2"/>
  <c r="T401" i="2"/>
  <c r="S401" i="2"/>
  <c r="R401" i="2"/>
  <c r="P401" i="2"/>
  <c r="Q401" i="2" s="1"/>
  <c r="O401" i="2"/>
  <c r="M401" i="2"/>
  <c r="N401" i="2" s="1"/>
  <c r="V400" i="2"/>
  <c r="U400" i="2"/>
  <c r="T400" i="2"/>
  <c r="S400" i="2"/>
  <c r="R400" i="2"/>
  <c r="P400" i="2"/>
  <c r="Q400" i="2" s="1"/>
  <c r="O400" i="2"/>
  <c r="M400" i="2"/>
  <c r="N400" i="2" s="1"/>
  <c r="V399" i="2"/>
  <c r="U399" i="2"/>
  <c r="T399" i="2"/>
  <c r="S399" i="2"/>
  <c r="R399" i="2"/>
  <c r="P399" i="2"/>
  <c r="Q399" i="2" s="1"/>
  <c r="O399" i="2"/>
  <c r="M399" i="2"/>
  <c r="N399" i="2" s="1"/>
  <c r="V398" i="2"/>
  <c r="U398" i="2"/>
  <c r="T398" i="2"/>
  <c r="S398" i="2"/>
  <c r="R398" i="2"/>
  <c r="P398" i="2"/>
  <c r="Q398" i="2" s="1"/>
  <c r="O398" i="2"/>
  <c r="M398" i="2"/>
  <c r="N398" i="2" s="1"/>
  <c r="V397" i="2"/>
  <c r="U397" i="2"/>
  <c r="T397" i="2"/>
  <c r="S397" i="2"/>
  <c r="R397" i="2"/>
  <c r="P397" i="2"/>
  <c r="Q397" i="2" s="1"/>
  <c r="O397" i="2"/>
  <c r="M397" i="2"/>
  <c r="N397" i="2" s="1"/>
  <c r="V396" i="2"/>
  <c r="U396" i="2"/>
  <c r="T396" i="2"/>
  <c r="S396" i="2"/>
  <c r="R396" i="2"/>
  <c r="P396" i="2"/>
  <c r="Q396" i="2" s="1"/>
  <c r="O396" i="2"/>
  <c r="M396" i="2"/>
  <c r="N396" i="2" s="1"/>
  <c r="V395" i="2"/>
  <c r="U395" i="2"/>
  <c r="T395" i="2"/>
  <c r="S395" i="2"/>
  <c r="R395" i="2"/>
  <c r="P395" i="2"/>
  <c r="Q395" i="2" s="1"/>
  <c r="O395" i="2"/>
  <c r="M395" i="2"/>
  <c r="N395" i="2" s="1"/>
  <c r="V394" i="2"/>
  <c r="U394" i="2"/>
  <c r="T394" i="2"/>
  <c r="S394" i="2"/>
  <c r="R394" i="2"/>
  <c r="P394" i="2"/>
  <c r="Q394" i="2" s="1"/>
  <c r="O394" i="2"/>
  <c r="M394" i="2"/>
  <c r="V393" i="2"/>
  <c r="U393" i="2"/>
  <c r="T393" i="2"/>
  <c r="S393" i="2"/>
  <c r="R393" i="2"/>
  <c r="P393" i="2"/>
  <c r="Q393" i="2" s="1"/>
  <c r="O393" i="2"/>
  <c r="M393" i="2"/>
  <c r="V392" i="2"/>
  <c r="U392" i="2"/>
  <c r="T392" i="2"/>
  <c r="S392" i="2"/>
  <c r="R392" i="2"/>
  <c r="P392" i="2"/>
  <c r="Q392" i="2" s="1"/>
  <c r="O392" i="2"/>
  <c r="M392" i="2"/>
  <c r="V391" i="2"/>
  <c r="U391" i="2"/>
  <c r="T391" i="2"/>
  <c r="S391" i="2"/>
  <c r="R391" i="2"/>
  <c r="P391" i="2"/>
  <c r="Q391" i="2" s="1"/>
  <c r="O391" i="2"/>
  <c r="M391" i="2"/>
  <c r="V390" i="2"/>
  <c r="U390" i="2"/>
  <c r="T390" i="2"/>
  <c r="S390" i="2"/>
  <c r="R390" i="2"/>
  <c r="P390" i="2"/>
  <c r="Q390" i="2" s="1"/>
  <c r="O390" i="2"/>
  <c r="M390" i="2"/>
  <c r="V389" i="2"/>
  <c r="U389" i="2"/>
  <c r="T389" i="2"/>
  <c r="S389" i="2"/>
  <c r="R389" i="2"/>
  <c r="P389" i="2"/>
  <c r="Q389" i="2" s="1"/>
  <c r="O389" i="2"/>
  <c r="M389" i="2"/>
  <c r="V388" i="2"/>
  <c r="U388" i="2"/>
  <c r="T388" i="2"/>
  <c r="S388" i="2"/>
  <c r="R388" i="2"/>
  <c r="P388" i="2"/>
  <c r="Q388" i="2" s="1"/>
  <c r="O388" i="2"/>
  <c r="M388" i="2"/>
  <c r="V387" i="2"/>
  <c r="U387" i="2"/>
  <c r="T387" i="2"/>
  <c r="S387" i="2"/>
  <c r="R387" i="2"/>
  <c r="P387" i="2"/>
  <c r="Q387" i="2" s="1"/>
  <c r="O387" i="2"/>
  <c r="M387" i="2"/>
  <c r="V386" i="2"/>
  <c r="U386" i="2"/>
  <c r="T386" i="2"/>
  <c r="S386" i="2"/>
  <c r="R386" i="2"/>
  <c r="P386" i="2"/>
  <c r="Q386" i="2" s="1"/>
  <c r="O386" i="2"/>
  <c r="M386" i="2"/>
  <c r="V385" i="2"/>
  <c r="U385" i="2"/>
  <c r="T385" i="2"/>
  <c r="S385" i="2"/>
  <c r="R385" i="2"/>
  <c r="P385" i="2"/>
  <c r="Q385" i="2" s="1"/>
  <c r="O385" i="2"/>
  <c r="M385" i="2"/>
  <c r="V384" i="2"/>
  <c r="U384" i="2"/>
  <c r="T384" i="2"/>
  <c r="S384" i="2"/>
  <c r="R384" i="2"/>
  <c r="P384" i="2"/>
  <c r="Q384" i="2" s="1"/>
  <c r="O384" i="2"/>
  <c r="M384" i="2"/>
  <c r="V383" i="2"/>
  <c r="U383" i="2"/>
  <c r="T383" i="2"/>
  <c r="S383" i="2"/>
  <c r="R383" i="2"/>
  <c r="P383" i="2"/>
  <c r="Q383" i="2" s="1"/>
  <c r="O383" i="2"/>
  <c r="M383" i="2"/>
  <c r="V382" i="2"/>
  <c r="U382" i="2"/>
  <c r="T382" i="2"/>
  <c r="S382" i="2"/>
  <c r="R382" i="2"/>
  <c r="P382" i="2"/>
  <c r="Q382" i="2" s="1"/>
  <c r="O382" i="2"/>
  <c r="M382" i="2"/>
  <c r="V381" i="2"/>
  <c r="U381" i="2"/>
  <c r="T381" i="2"/>
  <c r="S381" i="2"/>
  <c r="R381" i="2"/>
  <c r="P381" i="2"/>
  <c r="Q381" i="2" s="1"/>
  <c r="O381" i="2"/>
  <c r="M381" i="2"/>
  <c r="V380" i="2"/>
  <c r="U380" i="2"/>
  <c r="T380" i="2"/>
  <c r="S380" i="2"/>
  <c r="R380" i="2"/>
  <c r="P380" i="2"/>
  <c r="Q380" i="2" s="1"/>
  <c r="O380" i="2"/>
  <c r="M380" i="2"/>
  <c r="V379" i="2"/>
  <c r="U379" i="2"/>
  <c r="T379" i="2"/>
  <c r="S379" i="2"/>
  <c r="R379" i="2"/>
  <c r="P379" i="2"/>
  <c r="Q379" i="2" s="1"/>
  <c r="O379" i="2"/>
  <c r="M379" i="2"/>
  <c r="V378" i="2"/>
  <c r="U378" i="2"/>
  <c r="T378" i="2"/>
  <c r="S378" i="2"/>
  <c r="R378" i="2"/>
  <c r="P378" i="2"/>
  <c r="Q378" i="2" s="1"/>
  <c r="O378" i="2"/>
  <c r="M378" i="2"/>
  <c r="V377" i="2"/>
  <c r="U377" i="2"/>
  <c r="T377" i="2"/>
  <c r="S377" i="2"/>
  <c r="R377" i="2"/>
  <c r="Q377" i="2"/>
  <c r="P377" i="2"/>
  <c r="O377" i="2"/>
  <c r="M377" i="2"/>
  <c r="N377" i="2" s="1"/>
  <c r="V376" i="2"/>
  <c r="U376" i="2"/>
  <c r="T376" i="2"/>
  <c r="S376" i="2"/>
  <c r="R376" i="2"/>
  <c r="P376" i="2"/>
  <c r="Q376" i="2" s="1"/>
  <c r="O376" i="2"/>
  <c r="M376" i="2"/>
  <c r="N376" i="2" s="1"/>
  <c r="V375" i="2"/>
  <c r="U375" i="2"/>
  <c r="T375" i="2"/>
  <c r="S375" i="2"/>
  <c r="R375" i="2"/>
  <c r="P375" i="2"/>
  <c r="Q375" i="2" s="1"/>
  <c r="O375" i="2"/>
  <c r="M375" i="2"/>
  <c r="N375" i="2" s="1"/>
  <c r="V374" i="2"/>
  <c r="U374" i="2"/>
  <c r="T374" i="2"/>
  <c r="S374" i="2"/>
  <c r="R374" i="2"/>
  <c r="P374" i="2"/>
  <c r="Q374" i="2" s="1"/>
  <c r="O374" i="2"/>
  <c r="M374" i="2"/>
  <c r="N374" i="2" s="1"/>
  <c r="V373" i="2"/>
  <c r="U373" i="2"/>
  <c r="T373" i="2"/>
  <c r="S373" i="2"/>
  <c r="R373" i="2"/>
  <c r="P373" i="2"/>
  <c r="Q373" i="2" s="1"/>
  <c r="O373" i="2"/>
  <c r="M373" i="2"/>
  <c r="N373" i="2" s="1"/>
  <c r="V372" i="2"/>
  <c r="U372" i="2"/>
  <c r="T372" i="2"/>
  <c r="S372" i="2"/>
  <c r="R372" i="2"/>
  <c r="P372" i="2"/>
  <c r="Q372" i="2" s="1"/>
  <c r="O372" i="2"/>
  <c r="M372" i="2"/>
  <c r="N372" i="2" s="1"/>
  <c r="V371" i="2"/>
  <c r="U371" i="2"/>
  <c r="T371" i="2"/>
  <c r="S371" i="2"/>
  <c r="R371" i="2"/>
  <c r="P371" i="2"/>
  <c r="Q371" i="2" s="1"/>
  <c r="O371" i="2"/>
  <c r="M371" i="2"/>
  <c r="N371" i="2" s="1"/>
  <c r="V370" i="2"/>
  <c r="U370" i="2"/>
  <c r="T370" i="2"/>
  <c r="S370" i="2"/>
  <c r="R370" i="2"/>
  <c r="P370" i="2"/>
  <c r="Q370" i="2" s="1"/>
  <c r="O370" i="2"/>
  <c r="M370" i="2"/>
  <c r="N370" i="2" s="1"/>
  <c r="V369" i="2"/>
  <c r="U369" i="2"/>
  <c r="T369" i="2"/>
  <c r="S369" i="2"/>
  <c r="R369" i="2"/>
  <c r="P369" i="2"/>
  <c r="Q369" i="2" s="1"/>
  <c r="O369" i="2"/>
  <c r="M369" i="2"/>
  <c r="N369" i="2" s="1"/>
  <c r="V368" i="2"/>
  <c r="U368" i="2"/>
  <c r="T368" i="2"/>
  <c r="S368" i="2"/>
  <c r="R368" i="2"/>
  <c r="P368" i="2"/>
  <c r="Q368" i="2" s="1"/>
  <c r="O368" i="2"/>
  <c r="M368" i="2"/>
  <c r="N368" i="2" s="1"/>
  <c r="V367" i="2"/>
  <c r="U367" i="2"/>
  <c r="T367" i="2"/>
  <c r="S367" i="2"/>
  <c r="R367" i="2"/>
  <c r="P367" i="2"/>
  <c r="Q367" i="2" s="1"/>
  <c r="O367" i="2"/>
  <c r="M367" i="2"/>
  <c r="N367" i="2" s="1"/>
  <c r="V366" i="2"/>
  <c r="U366" i="2"/>
  <c r="T366" i="2"/>
  <c r="S366" i="2"/>
  <c r="R366" i="2"/>
  <c r="P366" i="2"/>
  <c r="Q366" i="2" s="1"/>
  <c r="O366" i="2"/>
  <c r="M366" i="2"/>
  <c r="N366" i="2" s="1"/>
  <c r="V365" i="2"/>
  <c r="U365" i="2"/>
  <c r="T365" i="2"/>
  <c r="S365" i="2"/>
  <c r="R365" i="2"/>
  <c r="P365" i="2"/>
  <c r="Q365" i="2" s="1"/>
  <c r="O365" i="2"/>
  <c r="M365" i="2"/>
  <c r="V364" i="2"/>
  <c r="U364" i="2"/>
  <c r="T364" i="2"/>
  <c r="S364" i="2"/>
  <c r="R364" i="2"/>
  <c r="P364" i="2"/>
  <c r="Q364" i="2" s="1"/>
  <c r="O364" i="2"/>
  <c r="M364" i="2"/>
  <c r="V363" i="2"/>
  <c r="U363" i="2"/>
  <c r="T363" i="2"/>
  <c r="S363" i="2"/>
  <c r="R363" i="2"/>
  <c r="P363" i="2"/>
  <c r="Q363" i="2" s="1"/>
  <c r="O363" i="2"/>
  <c r="M363" i="2"/>
  <c r="V362" i="2"/>
  <c r="U362" i="2"/>
  <c r="T362" i="2"/>
  <c r="S362" i="2"/>
  <c r="R362" i="2"/>
  <c r="P362" i="2"/>
  <c r="Q362" i="2" s="1"/>
  <c r="O362" i="2"/>
  <c r="M362" i="2"/>
  <c r="V361" i="2"/>
  <c r="U361" i="2"/>
  <c r="T361" i="2"/>
  <c r="S361" i="2"/>
  <c r="R361" i="2"/>
  <c r="P361" i="2"/>
  <c r="Q361" i="2" s="1"/>
  <c r="O361" i="2"/>
  <c r="M361" i="2"/>
  <c r="V360" i="2"/>
  <c r="U360" i="2"/>
  <c r="T360" i="2"/>
  <c r="S360" i="2"/>
  <c r="R360" i="2"/>
  <c r="P360" i="2"/>
  <c r="Q360" i="2" s="1"/>
  <c r="O360" i="2"/>
  <c r="M360" i="2"/>
  <c r="V359" i="2"/>
  <c r="U359" i="2"/>
  <c r="T359" i="2"/>
  <c r="S359" i="2"/>
  <c r="R359" i="2"/>
  <c r="P359" i="2"/>
  <c r="Q359" i="2" s="1"/>
  <c r="O359" i="2"/>
  <c r="M359" i="2"/>
  <c r="V358" i="2"/>
  <c r="U358" i="2"/>
  <c r="T358" i="2"/>
  <c r="S358" i="2"/>
  <c r="R358" i="2"/>
  <c r="P358" i="2"/>
  <c r="Q358" i="2" s="1"/>
  <c r="O358" i="2"/>
  <c r="M358" i="2"/>
  <c r="V357" i="2"/>
  <c r="U357" i="2"/>
  <c r="T357" i="2"/>
  <c r="S357" i="2"/>
  <c r="R357" i="2"/>
  <c r="P357" i="2"/>
  <c r="Q357" i="2" s="1"/>
  <c r="O357" i="2"/>
  <c r="M357" i="2"/>
  <c r="V356" i="2"/>
  <c r="U356" i="2"/>
  <c r="T356" i="2"/>
  <c r="S356" i="2"/>
  <c r="R356" i="2"/>
  <c r="P356" i="2"/>
  <c r="Q356" i="2" s="1"/>
  <c r="O356" i="2"/>
  <c r="M356" i="2"/>
  <c r="V355" i="2"/>
  <c r="U355" i="2"/>
  <c r="T355" i="2"/>
  <c r="S355" i="2"/>
  <c r="R355" i="2"/>
  <c r="P355" i="2"/>
  <c r="Q355" i="2" s="1"/>
  <c r="O355" i="2"/>
  <c r="M355" i="2"/>
  <c r="V354" i="2"/>
  <c r="U354" i="2"/>
  <c r="T354" i="2"/>
  <c r="S354" i="2"/>
  <c r="R354" i="2"/>
  <c r="P354" i="2"/>
  <c r="Q354" i="2" s="1"/>
  <c r="O354" i="2"/>
  <c r="M354" i="2"/>
  <c r="V353" i="2"/>
  <c r="U353" i="2"/>
  <c r="T353" i="2"/>
  <c r="S353" i="2"/>
  <c r="R353" i="2"/>
  <c r="P353" i="2"/>
  <c r="Q353" i="2" s="1"/>
  <c r="O353" i="2"/>
  <c r="M353" i="2"/>
  <c r="V352" i="2"/>
  <c r="U352" i="2"/>
  <c r="T352" i="2"/>
  <c r="S352" i="2"/>
  <c r="R352" i="2"/>
  <c r="P352" i="2"/>
  <c r="Q352" i="2" s="1"/>
  <c r="O352" i="2"/>
  <c r="M352" i="2"/>
  <c r="V351" i="2"/>
  <c r="U351" i="2"/>
  <c r="T351" i="2"/>
  <c r="S351" i="2"/>
  <c r="R351" i="2"/>
  <c r="P351" i="2"/>
  <c r="Q351" i="2" s="1"/>
  <c r="O351" i="2"/>
  <c r="M351" i="2"/>
  <c r="V350" i="2"/>
  <c r="U350" i="2"/>
  <c r="T350" i="2"/>
  <c r="S350" i="2"/>
  <c r="R350" i="2"/>
  <c r="P350" i="2"/>
  <c r="Q350" i="2" s="1"/>
  <c r="O350" i="2"/>
  <c r="M350" i="2"/>
  <c r="V349" i="2"/>
  <c r="U349" i="2"/>
  <c r="T349" i="2"/>
  <c r="S349" i="2"/>
  <c r="R349" i="2"/>
  <c r="P349" i="2"/>
  <c r="Q349" i="2" s="1"/>
  <c r="O349" i="2"/>
  <c r="M349" i="2"/>
  <c r="V348" i="2"/>
  <c r="U348" i="2"/>
  <c r="T348" i="2"/>
  <c r="S348" i="2"/>
  <c r="R348" i="2"/>
  <c r="P348" i="2"/>
  <c r="Q348" i="2" s="1"/>
  <c r="O348" i="2"/>
  <c r="M348" i="2"/>
  <c r="N348" i="2" s="1"/>
  <c r="V347" i="2"/>
  <c r="U347" i="2"/>
  <c r="T347" i="2"/>
  <c r="S347" i="2"/>
  <c r="R347" i="2"/>
  <c r="P347" i="2"/>
  <c r="Q347" i="2" s="1"/>
  <c r="O347" i="2"/>
  <c r="M347" i="2"/>
  <c r="N347" i="2" s="1"/>
  <c r="V346" i="2"/>
  <c r="U346" i="2"/>
  <c r="T346" i="2"/>
  <c r="S346" i="2"/>
  <c r="R346" i="2"/>
  <c r="P346" i="2"/>
  <c r="Q346" i="2" s="1"/>
  <c r="O346" i="2"/>
  <c r="M346" i="2"/>
  <c r="N346" i="2" s="1"/>
  <c r="V345" i="2"/>
  <c r="U345" i="2"/>
  <c r="T345" i="2"/>
  <c r="S345" i="2"/>
  <c r="R345" i="2"/>
  <c r="P345" i="2"/>
  <c r="Q345" i="2" s="1"/>
  <c r="O345" i="2"/>
  <c r="M345" i="2"/>
  <c r="N345" i="2" s="1"/>
  <c r="V344" i="2"/>
  <c r="U344" i="2"/>
  <c r="T344" i="2"/>
  <c r="S344" i="2"/>
  <c r="R344" i="2"/>
  <c r="P344" i="2"/>
  <c r="Q344" i="2" s="1"/>
  <c r="O344" i="2"/>
  <c r="M344" i="2"/>
  <c r="N344" i="2" s="1"/>
  <c r="V343" i="2"/>
  <c r="U343" i="2"/>
  <c r="T343" i="2"/>
  <c r="S343" i="2"/>
  <c r="R343" i="2"/>
  <c r="P343" i="2"/>
  <c r="Q343" i="2" s="1"/>
  <c r="O343" i="2"/>
  <c r="M343" i="2"/>
  <c r="N343" i="2" s="1"/>
  <c r="V342" i="2"/>
  <c r="U342" i="2"/>
  <c r="T342" i="2"/>
  <c r="S342" i="2"/>
  <c r="R342" i="2"/>
  <c r="P342" i="2"/>
  <c r="Q342" i="2" s="1"/>
  <c r="O342" i="2"/>
  <c r="M342" i="2"/>
  <c r="N342" i="2" s="1"/>
  <c r="V341" i="2"/>
  <c r="U341" i="2"/>
  <c r="T341" i="2"/>
  <c r="S341" i="2"/>
  <c r="R341" i="2"/>
  <c r="P341" i="2"/>
  <c r="Q341" i="2" s="1"/>
  <c r="O341" i="2"/>
  <c r="M341" i="2"/>
  <c r="N341" i="2" s="1"/>
  <c r="V340" i="2"/>
  <c r="U340" i="2"/>
  <c r="T340" i="2"/>
  <c r="S340" i="2"/>
  <c r="R340" i="2"/>
  <c r="P340" i="2"/>
  <c r="Q340" i="2" s="1"/>
  <c r="O340" i="2"/>
  <c r="M340" i="2"/>
  <c r="N340" i="2" s="1"/>
  <c r="V339" i="2"/>
  <c r="U339" i="2"/>
  <c r="T339" i="2"/>
  <c r="S339" i="2"/>
  <c r="R339" i="2"/>
  <c r="P339" i="2"/>
  <c r="Q339" i="2" s="1"/>
  <c r="O339" i="2"/>
  <c r="M339" i="2"/>
  <c r="N339" i="2" s="1"/>
  <c r="V338" i="2"/>
  <c r="U338" i="2"/>
  <c r="T338" i="2"/>
  <c r="S338" i="2"/>
  <c r="R338" i="2"/>
  <c r="P338" i="2"/>
  <c r="Q338" i="2" s="1"/>
  <c r="O338" i="2"/>
  <c r="M338" i="2"/>
  <c r="N338" i="2" s="1"/>
  <c r="V337" i="2"/>
  <c r="U337" i="2"/>
  <c r="T337" i="2"/>
  <c r="S337" i="2"/>
  <c r="R337" i="2"/>
  <c r="P337" i="2"/>
  <c r="Q337" i="2" s="1"/>
  <c r="O337" i="2"/>
  <c r="M337" i="2"/>
  <c r="N337" i="2" s="1"/>
  <c r="V336" i="2"/>
  <c r="U336" i="2"/>
  <c r="T336" i="2"/>
  <c r="S336" i="2"/>
  <c r="R336" i="2"/>
  <c r="P336" i="2"/>
  <c r="Q336" i="2" s="1"/>
  <c r="O336" i="2"/>
  <c r="M336" i="2"/>
  <c r="N336" i="2" s="1"/>
  <c r="V335" i="2"/>
  <c r="U335" i="2"/>
  <c r="T335" i="2"/>
  <c r="S335" i="2"/>
  <c r="R335" i="2"/>
  <c r="P335" i="2"/>
  <c r="Q335" i="2" s="1"/>
  <c r="O335" i="2"/>
  <c r="M335" i="2"/>
  <c r="N335" i="2" s="1"/>
  <c r="V334" i="2"/>
  <c r="U334" i="2"/>
  <c r="T334" i="2"/>
  <c r="S334" i="2"/>
  <c r="R334" i="2"/>
  <c r="P334" i="2"/>
  <c r="Q334" i="2" s="1"/>
  <c r="O334" i="2"/>
  <c r="M334" i="2"/>
  <c r="N334" i="2" s="1"/>
  <c r="V333" i="2"/>
  <c r="U333" i="2"/>
  <c r="T333" i="2"/>
  <c r="S333" i="2"/>
  <c r="R333" i="2"/>
  <c r="P333" i="2"/>
  <c r="Q333" i="2" s="1"/>
  <c r="O333" i="2"/>
  <c r="M333" i="2"/>
  <c r="N333" i="2" s="1"/>
  <c r="V332" i="2"/>
  <c r="U332" i="2"/>
  <c r="T332" i="2"/>
  <c r="S332" i="2"/>
  <c r="R332" i="2"/>
  <c r="P332" i="2"/>
  <c r="Q332" i="2" s="1"/>
  <c r="O332" i="2"/>
  <c r="M332" i="2"/>
  <c r="N332" i="2" s="1"/>
  <c r="V331" i="2"/>
  <c r="U331" i="2"/>
  <c r="T331" i="2"/>
  <c r="S331" i="2"/>
  <c r="R331" i="2"/>
  <c r="P331" i="2"/>
  <c r="Q331" i="2" s="1"/>
  <c r="O331" i="2"/>
  <c r="M331" i="2"/>
  <c r="N331" i="2" s="1"/>
  <c r="V330" i="2"/>
  <c r="U330" i="2"/>
  <c r="T330" i="2"/>
  <c r="S330" i="2"/>
  <c r="R330" i="2"/>
  <c r="P330" i="2"/>
  <c r="Q330" i="2" s="1"/>
  <c r="O330" i="2"/>
  <c r="M330" i="2"/>
  <c r="N330" i="2" s="1"/>
  <c r="V329" i="2"/>
  <c r="U329" i="2"/>
  <c r="T329" i="2"/>
  <c r="S329" i="2"/>
  <c r="R329" i="2"/>
  <c r="P329" i="2"/>
  <c r="Q329" i="2" s="1"/>
  <c r="O329" i="2"/>
  <c r="M329" i="2"/>
  <c r="N329" i="2" s="1"/>
  <c r="V328" i="2"/>
  <c r="U328" i="2"/>
  <c r="T328" i="2"/>
  <c r="S328" i="2"/>
  <c r="R328" i="2"/>
  <c r="P328" i="2"/>
  <c r="Q328" i="2" s="1"/>
  <c r="O328" i="2"/>
  <c r="M328" i="2"/>
  <c r="V327" i="2"/>
  <c r="U327" i="2"/>
  <c r="T327" i="2"/>
  <c r="S327" i="2"/>
  <c r="R327" i="2"/>
  <c r="P327" i="2"/>
  <c r="Q327" i="2" s="1"/>
  <c r="O327" i="2"/>
  <c r="M327" i="2"/>
  <c r="V326" i="2"/>
  <c r="U326" i="2"/>
  <c r="T326" i="2"/>
  <c r="S326" i="2"/>
  <c r="R326" i="2"/>
  <c r="P326" i="2"/>
  <c r="Q326" i="2" s="1"/>
  <c r="O326" i="2"/>
  <c r="M326" i="2"/>
  <c r="V325" i="2"/>
  <c r="U325" i="2"/>
  <c r="T325" i="2"/>
  <c r="S325" i="2"/>
  <c r="R325" i="2"/>
  <c r="P325" i="2"/>
  <c r="Q325" i="2" s="1"/>
  <c r="O325" i="2"/>
  <c r="M325" i="2"/>
  <c r="V324" i="2"/>
  <c r="U324" i="2"/>
  <c r="T324" i="2"/>
  <c r="S324" i="2"/>
  <c r="R324" i="2"/>
  <c r="P324" i="2"/>
  <c r="Q324" i="2" s="1"/>
  <c r="O324" i="2"/>
  <c r="M324" i="2"/>
  <c r="V323" i="2"/>
  <c r="U323" i="2"/>
  <c r="T323" i="2"/>
  <c r="S323" i="2"/>
  <c r="R323" i="2"/>
  <c r="P323" i="2"/>
  <c r="Q323" i="2" s="1"/>
  <c r="O323" i="2"/>
  <c r="M323" i="2"/>
  <c r="V322" i="2"/>
  <c r="U322" i="2"/>
  <c r="T322" i="2"/>
  <c r="S322" i="2"/>
  <c r="R322" i="2"/>
  <c r="P322" i="2"/>
  <c r="Q322" i="2" s="1"/>
  <c r="O322" i="2"/>
  <c r="M322" i="2"/>
  <c r="V321" i="2"/>
  <c r="U321" i="2"/>
  <c r="T321" i="2"/>
  <c r="S321" i="2"/>
  <c r="R321" i="2"/>
  <c r="P321" i="2"/>
  <c r="Q321" i="2" s="1"/>
  <c r="O321" i="2"/>
  <c r="M321" i="2"/>
  <c r="V320" i="2"/>
  <c r="U320" i="2"/>
  <c r="T320" i="2"/>
  <c r="S320" i="2"/>
  <c r="R320" i="2"/>
  <c r="P320" i="2"/>
  <c r="Q320" i="2" s="1"/>
  <c r="O320" i="2"/>
  <c r="M320" i="2"/>
  <c r="V319" i="2"/>
  <c r="U319" i="2"/>
  <c r="T319" i="2"/>
  <c r="S319" i="2"/>
  <c r="R319" i="2"/>
  <c r="P319" i="2"/>
  <c r="Q319" i="2" s="1"/>
  <c r="O319" i="2"/>
  <c r="M319" i="2"/>
  <c r="N319" i="2" s="1"/>
  <c r="V318" i="2"/>
  <c r="U318" i="2"/>
  <c r="T318" i="2"/>
  <c r="S318" i="2"/>
  <c r="R318" i="2"/>
  <c r="P318" i="2"/>
  <c r="Q318" i="2" s="1"/>
  <c r="O318" i="2"/>
  <c r="M318" i="2"/>
  <c r="N318" i="2" s="1"/>
  <c r="V317" i="2"/>
  <c r="U317" i="2"/>
  <c r="T317" i="2"/>
  <c r="S317" i="2"/>
  <c r="R317" i="2"/>
  <c r="P317" i="2"/>
  <c r="Q317" i="2" s="1"/>
  <c r="O317" i="2"/>
  <c r="M317" i="2"/>
  <c r="N317" i="2" s="1"/>
  <c r="V316" i="2"/>
  <c r="U316" i="2"/>
  <c r="T316" i="2"/>
  <c r="S316" i="2"/>
  <c r="R316" i="2"/>
  <c r="P316" i="2"/>
  <c r="Q316" i="2" s="1"/>
  <c r="O316" i="2"/>
  <c r="M316" i="2"/>
  <c r="N316" i="2" s="1"/>
  <c r="V315" i="2"/>
  <c r="U315" i="2"/>
  <c r="T315" i="2"/>
  <c r="S315" i="2"/>
  <c r="R315" i="2"/>
  <c r="P315" i="2"/>
  <c r="Q315" i="2" s="1"/>
  <c r="O315" i="2"/>
  <c r="M315" i="2"/>
  <c r="N315" i="2" s="1"/>
  <c r="V314" i="2"/>
  <c r="U314" i="2"/>
  <c r="T314" i="2"/>
  <c r="S314" i="2"/>
  <c r="R314" i="2"/>
  <c r="P314" i="2"/>
  <c r="Q314" i="2" s="1"/>
  <c r="O314" i="2"/>
  <c r="M314" i="2"/>
  <c r="N314" i="2" s="1"/>
  <c r="V313" i="2"/>
  <c r="U313" i="2"/>
  <c r="T313" i="2"/>
  <c r="S313" i="2"/>
  <c r="R313" i="2"/>
  <c r="P313" i="2"/>
  <c r="Q313" i="2" s="1"/>
  <c r="O313" i="2"/>
  <c r="M313" i="2"/>
  <c r="N313" i="2" s="1"/>
  <c r="V312" i="2"/>
  <c r="U312" i="2"/>
  <c r="T312" i="2"/>
  <c r="S312" i="2"/>
  <c r="R312" i="2"/>
  <c r="P312" i="2"/>
  <c r="Q312" i="2" s="1"/>
  <c r="O312" i="2"/>
  <c r="M312" i="2"/>
  <c r="N312" i="2" s="1"/>
  <c r="V311" i="2"/>
  <c r="U311" i="2"/>
  <c r="T311" i="2"/>
  <c r="S311" i="2"/>
  <c r="R311" i="2"/>
  <c r="P311" i="2"/>
  <c r="Q311" i="2" s="1"/>
  <c r="O311" i="2"/>
  <c r="M311" i="2"/>
  <c r="N311" i="2" s="1"/>
  <c r="V310" i="2"/>
  <c r="U310" i="2"/>
  <c r="T310" i="2"/>
  <c r="S310" i="2"/>
  <c r="R310" i="2"/>
  <c r="P310" i="2"/>
  <c r="Q310" i="2" s="1"/>
  <c r="O310" i="2"/>
  <c r="M310" i="2"/>
  <c r="N310" i="2" s="1"/>
  <c r="V309" i="2"/>
  <c r="U309" i="2"/>
  <c r="T309" i="2"/>
  <c r="S309" i="2"/>
  <c r="R309" i="2"/>
  <c r="P309" i="2"/>
  <c r="Q309" i="2" s="1"/>
  <c r="O309" i="2"/>
  <c r="M309" i="2"/>
  <c r="N309" i="2" s="1"/>
  <c r="V308" i="2"/>
  <c r="U308" i="2"/>
  <c r="T308" i="2"/>
  <c r="S308" i="2"/>
  <c r="R308" i="2"/>
  <c r="P308" i="2"/>
  <c r="Q308" i="2" s="1"/>
  <c r="O308" i="2"/>
  <c r="M308" i="2"/>
  <c r="N308" i="2" s="1"/>
  <c r="V307" i="2"/>
  <c r="U307" i="2"/>
  <c r="T307" i="2"/>
  <c r="S307" i="2"/>
  <c r="R307" i="2"/>
  <c r="P307" i="2"/>
  <c r="Q307" i="2" s="1"/>
  <c r="O307" i="2"/>
  <c r="M307" i="2"/>
  <c r="N307" i="2" s="1"/>
  <c r="V306" i="2"/>
  <c r="U306" i="2"/>
  <c r="T306" i="2"/>
  <c r="S306" i="2"/>
  <c r="R306" i="2"/>
  <c r="P306" i="2"/>
  <c r="Q306" i="2" s="1"/>
  <c r="O306" i="2"/>
  <c r="M306" i="2"/>
  <c r="N306" i="2" s="1"/>
  <c r="V305" i="2"/>
  <c r="U305" i="2"/>
  <c r="T305" i="2"/>
  <c r="S305" i="2"/>
  <c r="R305" i="2"/>
  <c r="P305" i="2"/>
  <c r="Q305" i="2" s="1"/>
  <c r="O305" i="2"/>
  <c r="M305" i="2"/>
  <c r="N305" i="2" s="1"/>
  <c r="V304" i="2"/>
  <c r="U304" i="2"/>
  <c r="T304" i="2"/>
  <c r="S304" i="2"/>
  <c r="R304" i="2"/>
  <c r="P304" i="2"/>
  <c r="Q304" i="2" s="1"/>
  <c r="O304" i="2"/>
  <c r="M304" i="2"/>
  <c r="N304" i="2" s="1"/>
  <c r="V303" i="2"/>
  <c r="U303" i="2"/>
  <c r="T303" i="2"/>
  <c r="S303" i="2"/>
  <c r="R303" i="2"/>
  <c r="P303" i="2"/>
  <c r="Q303" i="2" s="1"/>
  <c r="O303" i="2"/>
  <c r="M303" i="2"/>
  <c r="N303" i="2" s="1"/>
  <c r="V302" i="2"/>
  <c r="U302" i="2"/>
  <c r="T302" i="2"/>
  <c r="S302" i="2"/>
  <c r="R302" i="2"/>
  <c r="P302" i="2"/>
  <c r="Q302" i="2" s="1"/>
  <c r="O302" i="2"/>
  <c r="M302" i="2"/>
  <c r="N302" i="2" s="1"/>
  <c r="V301" i="2"/>
  <c r="U301" i="2"/>
  <c r="T301" i="2"/>
  <c r="S301" i="2"/>
  <c r="R301" i="2"/>
  <c r="P301" i="2"/>
  <c r="Q301" i="2" s="1"/>
  <c r="O301" i="2"/>
  <c r="M301" i="2"/>
  <c r="N301" i="2" s="1"/>
  <c r="V300" i="2"/>
  <c r="U300" i="2"/>
  <c r="T300" i="2"/>
  <c r="S300" i="2"/>
  <c r="R300" i="2"/>
  <c r="P300" i="2"/>
  <c r="Q300" i="2" s="1"/>
  <c r="O300" i="2"/>
  <c r="M300" i="2"/>
  <c r="N300" i="2" s="1"/>
  <c r="V299" i="2"/>
  <c r="U299" i="2"/>
  <c r="T299" i="2"/>
  <c r="S299" i="2"/>
  <c r="R299" i="2"/>
  <c r="P299" i="2"/>
  <c r="Q299" i="2" s="1"/>
  <c r="O299" i="2"/>
  <c r="M299" i="2"/>
  <c r="N299" i="2" s="1"/>
  <c r="V298" i="2"/>
  <c r="U298" i="2"/>
  <c r="T298" i="2"/>
  <c r="S298" i="2"/>
  <c r="R298" i="2"/>
  <c r="P298" i="2"/>
  <c r="Q298" i="2" s="1"/>
  <c r="O298" i="2"/>
  <c r="M298" i="2"/>
  <c r="N298" i="2" s="1"/>
  <c r="V297" i="2"/>
  <c r="U297" i="2"/>
  <c r="T297" i="2"/>
  <c r="S297" i="2"/>
  <c r="R297" i="2"/>
  <c r="P297" i="2"/>
  <c r="Q297" i="2" s="1"/>
  <c r="O297" i="2"/>
  <c r="M297" i="2"/>
  <c r="N297" i="2" s="1"/>
  <c r="V296" i="2"/>
  <c r="U296" i="2"/>
  <c r="T296" i="2"/>
  <c r="S296" i="2"/>
  <c r="R296" i="2"/>
  <c r="P296" i="2"/>
  <c r="Q296" i="2" s="1"/>
  <c r="O296" i="2"/>
  <c r="M296" i="2"/>
  <c r="N296" i="2" s="1"/>
  <c r="V295" i="2"/>
  <c r="U295" i="2"/>
  <c r="T295" i="2"/>
  <c r="S295" i="2"/>
  <c r="R295" i="2"/>
  <c r="P295" i="2"/>
  <c r="Q295" i="2" s="1"/>
  <c r="O295" i="2"/>
  <c r="M295" i="2"/>
  <c r="V294" i="2"/>
  <c r="U294" i="2"/>
  <c r="T294" i="2"/>
  <c r="S294" i="2"/>
  <c r="R294" i="2"/>
  <c r="P294" i="2"/>
  <c r="Q294" i="2" s="1"/>
  <c r="O294" i="2"/>
  <c r="M294" i="2"/>
  <c r="V293" i="2"/>
  <c r="U293" i="2"/>
  <c r="T293" i="2"/>
  <c r="S293" i="2"/>
  <c r="R293" i="2"/>
  <c r="P293" i="2"/>
  <c r="Q293" i="2" s="1"/>
  <c r="O293" i="2"/>
  <c r="M293" i="2"/>
  <c r="V292" i="2"/>
  <c r="U292" i="2"/>
  <c r="T292" i="2"/>
  <c r="S292" i="2"/>
  <c r="R292" i="2"/>
  <c r="P292" i="2"/>
  <c r="Q292" i="2" s="1"/>
  <c r="O292" i="2"/>
  <c r="M292" i="2"/>
  <c r="V291" i="2"/>
  <c r="U291" i="2"/>
  <c r="T291" i="2"/>
  <c r="S291" i="2"/>
  <c r="R291" i="2"/>
  <c r="P291" i="2"/>
  <c r="Q291" i="2" s="1"/>
  <c r="O291" i="2"/>
  <c r="M291" i="2"/>
  <c r="V290" i="2"/>
  <c r="U290" i="2"/>
  <c r="T290" i="2"/>
  <c r="S290" i="2"/>
  <c r="R290" i="2"/>
  <c r="P290" i="2"/>
  <c r="Q290" i="2" s="1"/>
  <c r="O290" i="2"/>
  <c r="M290" i="2"/>
  <c r="N290" i="2" s="1"/>
  <c r="V289" i="2"/>
  <c r="U289" i="2"/>
  <c r="T289" i="2"/>
  <c r="S289" i="2"/>
  <c r="R289" i="2"/>
  <c r="P289" i="2"/>
  <c r="Q289" i="2" s="1"/>
  <c r="O289" i="2"/>
  <c r="M289" i="2"/>
  <c r="N289" i="2" s="1"/>
  <c r="V288" i="2"/>
  <c r="U288" i="2"/>
  <c r="T288" i="2"/>
  <c r="S288" i="2"/>
  <c r="R288" i="2"/>
  <c r="P288" i="2"/>
  <c r="Q288" i="2" s="1"/>
  <c r="O288" i="2"/>
  <c r="M288" i="2"/>
  <c r="N288" i="2" s="1"/>
  <c r="V287" i="2"/>
  <c r="U287" i="2"/>
  <c r="T287" i="2"/>
  <c r="S287" i="2"/>
  <c r="R287" i="2"/>
  <c r="P287" i="2"/>
  <c r="Q287" i="2" s="1"/>
  <c r="O287" i="2"/>
  <c r="M287" i="2"/>
  <c r="N287" i="2" s="1"/>
  <c r="V286" i="2"/>
  <c r="U286" i="2"/>
  <c r="T286" i="2"/>
  <c r="S286" i="2"/>
  <c r="R286" i="2"/>
  <c r="P286" i="2"/>
  <c r="Q286" i="2" s="1"/>
  <c r="O286" i="2"/>
  <c r="M286" i="2"/>
  <c r="N286" i="2" s="1"/>
  <c r="V285" i="2"/>
  <c r="U285" i="2"/>
  <c r="T285" i="2"/>
  <c r="S285" i="2"/>
  <c r="R285" i="2"/>
  <c r="P285" i="2"/>
  <c r="Q285" i="2" s="1"/>
  <c r="O285" i="2"/>
  <c r="M285" i="2"/>
  <c r="N285" i="2" s="1"/>
  <c r="V284" i="2"/>
  <c r="U284" i="2"/>
  <c r="T284" i="2"/>
  <c r="S284" i="2"/>
  <c r="R284" i="2"/>
  <c r="P284" i="2"/>
  <c r="Q284" i="2" s="1"/>
  <c r="O284" i="2"/>
  <c r="M284" i="2"/>
  <c r="N284" i="2" s="1"/>
  <c r="V283" i="2"/>
  <c r="U283" i="2"/>
  <c r="T283" i="2"/>
  <c r="S283" i="2"/>
  <c r="R283" i="2"/>
  <c r="P283" i="2"/>
  <c r="Q283" i="2" s="1"/>
  <c r="O283" i="2"/>
  <c r="M283" i="2"/>
  <c r="N283" i="2" s="1"/>
  <c r="V282" i="2"/>
  <c r="U282" i="2"/>
  <c r="T282" i="2"/>
  <c r="S282" i="2"/>
  <c r="R282" i="2"/>
  <c r="P282" i="2"/>
  <c r="Q282" i="2" s="1"/>
  <c r="O282" i="2"/>
  <c r="M282" i="2"/>
  <c r="N282" i="2" s="1"/>
  <c r="V281" i="2"/>
  <c r="U281" i="2"/>
  <c r="T281" i="2"/>
  <c r="S281" i="2"/>
  <c r="R281" i="2"/>
  <c r="P281" i="2"/>
  <c r="Q281" i="2" s="1"/>
  <c r="O281" i="2"/>
  <c r="M281" i="2"/>
  <c r="N281" i="2" s="1"/>
  <c r="V280" i="2"/>
  <c r="U280" i="2"/>
  <c r="T280" i="2"/>
  <c r="S280" i="2"/>
  <c r="R280" i="2"/>
  <c r="P280" i="2"/>
  <c r="Q280" i="2" s="1"/>
  <c r="O280" i="2"/>
  <c r="M280" i="2"/>
  <c r="N280" i="2" s="1"/>
  <c r="V279" i="2"/>
  <c r="U279" i="2"/>
  <c r="T279" i="2"/>
  <c r="S279" i="2"/>
  <c r="R279" i="2"/>
  <c r="P279" i="2"/>
  <c r="Q279" i="2" s="1"/>
  <c r="O279" i="2"/>
  <c r="M279" i="2"/>
  <c r="N279" i="2" s="1"/>
  <c r="V278" i="2"/>
  <c r="U278" i="2"/>
  <c r="T278" i="2"/>
  <c r="S278" i="2"/>
  <c r="R278" i="2"/>
  <c r="P278" i="2"/>
  <c r="Q278" i="2" s="1"/>
  <c r="O278" i="2"/>
  <c r="M278" i="2"/>
  <c r="N278" i="2" s="1"/>
  <c r="V277" i="2"/>
  <c r="U277" i="2"/>
  <c r="T277" i="2"/>
  <c r="S277" i="2"/>
  <c r="R277" i="2"/>
  <c r="P277" i="2"/>
  <c r="Q277" i="2" s="1"/>
  <c r="O277" i="2"/>
  <c r="M277" i="2"/>
  <c r="N277" i="2" s="1"/>
  <c r="V276" i="2"/>
  <c r="U276" i="2"/>
  <c r="T276" i="2"/>
  <c r="S276" i="2"/>
  <c r="R276" i="2"/>
  <c r="P276" i="2"/>
  <c r="Q276" i="2" s="1"/>
  <c r="O276" i="2"/>
  <c r="M276" i="2"/>
  <c r="N276" i="2" s="1"/>
  <c r="V275" i="2"/>
  <c r="U275" i="2"/>
  <c r="T275" i="2"/>
  <c r="S275" i="2"/>
  <c r="R275" i="2"/>
  <c r="P275" i="2"/>
  <c r="Q275" i="2" s="1"/>
  <c r="O275" i="2"/>
  <c r="M275" i="2"/>
  <c r="N275" i="2" s="1"/>
  <c r="V274" i="2"/>
  <c r="U274" i="2"/>
  <c r="T274" i="2"/>
  <c r="S274" i="2"/>
  <c r="R274" i="2"/>
  <c r="P274" i="2"/>
  <c r="Q274" i="2" s="1"/>
  <c r="O274" i="2"/>
  <c r="M274" i="2"/>
  <c r="N274" i="2" s="1"/>
  <c r="V273" i="2"/>
  <c r="U273" i="2"/>
  <c r="T273" i="2"/>
  <c r="S273" i="2"/>
  <c r="R273" i="2"/>
  <c r="P273" i="2"/>
  <c r="Q273" i="2" s="1"/>
  <c r="O273" i="2"/>
  <c r="M273" i="2"/>
  <c r="N273" i="2" s="1"/>
  <c r="V272" i="2"/>
  <c r="U272" i="2"/>
  <c r="T272" i="2"/>
  <c r="S272" i="2"/>
  <c r="R272" i="2"/>
  <c r="P272" i="2"/>
  <c r="Q272" i="2" s="1"/>
  <c r="O272" i="2"/>
  <c r="M272" i="2"/>
  <c r="N272" i="2" s="1"/>
  <c r="V271" i="2"/>
  <c r="U271" i="2"/>
  <c r="T271" i="2"/>
  <c r="S271" i="2"/>
  <c r="R271" i="2"/>
  <c r="P271" i="2"/>
  <c r="Q271" i="2" s="1"/>
  <c r="O271" i="2"/>
  <c r="M271" i="2"/>
  <c r="N271" i="2" s="1"/>
  <c r="V270" i="2"/>
  <c r="U270" i="2"/>
  <c r="T270" i="2"/>
  <c r="S270" i="2"/>
  <c r="R270" i="2"/>
  <c r="P270" i="2"/>
  <c r="Q270" i="2" s="1"/>
  <c r="O270" i="2"/>
  <c r="M270" i="2"/>
  <c r="N270" i="2" s="1"/>
  <c r="V269" i="2"/>
  <c r="U269" i="2"/>
  <c r="T269" i="2"/>
  <c r="S269" i="2"/>
  <c r="R269" i="2"/>
  <c r="P269" i="2"/>
  <c r="Q269" i="2" s="1"/>
  <c r="O269" i="2"/>
  <c r="M269" i="2"/>
  <c r="N269" i="2" s="1"/>
  <c r="V268" i="2"/>
  <c r="U268" i="2"/>
  <c r="T268" i="2"/>
  <c r="S268" i="2"/>
  <c r="R268" i="2"/>
  <c r="P268" i="2"/>
  <c r="Q268" i="2" s="1"/>
  <c r="O268" i="2"/>
  <c r="M268" i="2"/>
  <c r="N268" i="2" s="1"/>
  <c r="V267" i="2"/>
  <c r="U267" i="2"/>
  <c r="T267" i="2"/>
  <c r="S267" i="2"/>
  <c r="R267" i="2"/>
  <c r="P267" i="2"/>
  <c r="Q267" i="2" s="1"/>
  <c r="O267" i="2"/>
  <c r="M267" i="2"/>
  <c r="N267" i="2" s="1"/>
  <c r="V266" i="2"/>
  <c r="U266" i="2"/>
  <c r="T266" i="2"/>
  <c r="S266" i="2"/>
  <c r="R266" i="2"/>
  <c r="P266" i="2"/>
  <c r="Q266" i="2" s="1"/>
  <c r="O266" i="2"/>
  <c r="M266" i="2"/>
  <c r="N266" i="2" s="1"/>
  <c r="V265" i="2"/>
  <c r="U265" i="2"/>
  <c r="T265" i="2"/>
  <c r="S265" i="2"/>
  <c r="R265" i="2"/>
  <c r="P265" i="2"/>
  <c r="Q265" i="2" s="1"/>
  <c r="O265" i="2"/>
  <c r="M265" i="2"/>
  <c r="N265" i="2" s="1"/>
  <c r="V264" i="2"/>
  <c r="U264" i="2"/>
  <c r="T264" i="2"/>
  <c r="S264" i="2"/>
  <c r="R264" i="2"/>
  <c r="P264" i="2"/>
  <c r="Q264" i="2" s="1"/>
  <c r="O264" i="2"/>
  <c r="M264" i="2"/>
  <c r="N264" i="2" s="1"/>
  <c r="V263" i="2"/>
  <c r="U263" i="2"/>
  <c r="T263" i="2"/>
  <c r="S263" i="2"/>
  <c r="R263" i="2"/>
  <c r="P263" i="2"/>
  <c r="Q263" i="2" s="1"/>
  <c r="O263" i="2"/>
  <c r="M263" i="2"/>
  <c r="N263" i="2" s="1"/>
  <c r="V262" i="2"/>
  <c r="U262" i="2"/>
  <c r="T262" i="2"/>
  <c r="S262" i="2"/>
  <c r="R262" i="2"/>
  <c r="P262" i="2"/>
  <c r="Q262" i="2" s="1"/>
  <c r="O262" i="2"/>
  <c r="M262" i="2"/>
  <c r="V261" i="2"/>
  <c r="U261" i="2"/>
  <c r="T261" i="2"/>
  <c r="S261" i="2"/>
  <c r="R261" i="2"/>
  <c r="P261" i="2"/>
  <c r="Q261" i="2" s="1"/>
  <c r="O261" i="2"/>
  <c r="M261" i="2"/>
  <c r="N261" i="2" s="1"/>
  <c r="V260" i="2"/>
  <c r="U260" i="2"/>
  <c r="T260" i="2"/>
  <c r="S260" i="2"/>
  <c r="R260" i="2"/>
  <c r="P260" i="2"/>
  <c r="Q260" i="2" s="1"/>
  <c r="O260" i="2"/>
  <c r="M260" i="2"/>
  <c r="N260" i="2" s="1"/>
  <c r="V259" i="2"/>
  <c r="U259" i="2"/>
  <c r="T259" i="2"/>
  <c r="S259" i="2"/>
  <c r="R259" i="2"/>
  <c r="P259" i="2"/>
  <c r="Q259" i="2" s="1"/>
  <c r="O259" i="2"/>
  <c r="M259" i="2"/>
  <c r="N259" i="2" s="1"/>
  <c r="V258" i="2"/>
  <c r="U258" i="2"/>
  <c r="T258" i="2"/>
  <c r="S258" i="2"/>
  <c r="R258" i="2"/>
  <c r="P258" i="2"/>
  <c r="Q258" i="2" s="1"/>
  <c r="O258" i="2"/>
  <c r="M258" i="2"/>
  <c r="N258" i="2" s="1"/>
  <c r="V257" i="2"/>
  <c r="U257" i="2"/>
  <c r="T257" i="2"/>
  <c r="S257" i="2"/>
  <c r="R257" i="2"/>
  <c r="P257" i="2"/>
  <c r="Q257" i="2" s="1"/>
  <c r="O257" i="2"/>
  <c r="M257" i="2"/>
  <c r="N257" i="2" s="1"/>
  <c r="V256" i="2"/>
  <c r="U256" i="2"/>
  <c r="T256" i="2"/>
  <c r="S256" i="2"/>
  <c r="R256" i="2"/>
  <c r="P256" i="2"/>
  <c r="Q256" i="2" s="1"/>
  <c r="O256" i="2"/>
  <c r="M256" i="2"/>
  <c r="N256" i="2" s="1"/>
  <c r="V255" i="2"/>
  <c r="U255" i="2"/>
  <c r="T255" i="2"/>
  <c r="S255" i="2"/>
  <c r="R255" i="2"/>
  <c r="P255" i="2"/>
  <c r="Q255" i="2" s="1"/>
  <c r="O255" i="2"/>
  <c r="M255" i="2"/>
  <c r="N255" i="2" s="1"/>
  <c r="V254" i="2"/>
  <c r="U254" i="2"/>
  <c r="T254" i="2"/>
  <c r="S254" i="2"/>
  <c r="R254" i="2"/>
  <c r="P254" i="2"/>
  <c r="Q254" i="2" s="1"/>
  <c r="O254" i="2"/>
  <c r="M254" i="2"/>
  <c r="N254" i="2" s="1"/>
  <c r="V253" i="2"/>
  <c r="U253" i="2"/>
  <c r="T253" i="2"/>
  <c r="S253" i="2"/>
  <c r="R253" i="2"/>
  <c r="P253" i="2"/>
  <c r="Q253" i="2" s="1"/>
  <c r="O253" i="2"/>
  <c r="M253" i="2"/>
  <c r="N253" i="2" s="1"/>
  <c r="V252" i="2"/>
  <c r="U252" i="2"/>
  <c r="T252" i="2"/>
  <c r="S252" i="2"/>
  <c r="R252" i="2"/>
  <c r="P252" i="2"/>
  <c r="Q252" i="2" s="1"/>
  <c r="O252" i="2"/>
  <c r="M252" i="2"/>
  <c r="N252" i="2" s="1"/>
  <c r="V251" i="2"/>
  <c r="U251" i="2"/>
  <c r="T251" i="2"/>
  <c r="S251" i="2"/>
  <c r="R251" i="2"/>
  <c r="P251" i="2"/>
  <c r="Q251" i="2" s="1"/>
  <c r="O251" i="2"/>
  <c r="M251" i="2"/>
  <c r="N251" i="2" s="1"/>
  <c r="V250" i="2"/>
  <c r="U250" i="2"/>
  <c r="T250" i="2"/>
  <c r="S250" i="2"/>
  <c r="R250" i="2"/>
  <c r="P250" i="2"/>
  <c r="Q250" i="2" s="1"/>
  <c r="O250" i="2"/>
  <c r="M250" i="2"/>
  <c r="N250" i="2" s="1"/>
  <c r="V249" i="2"/>
  <c r="U249" i="2"/>
  <c r="T249" i="2"/>
  <c r="S249" i="2"/>
  <c r="R249" i="2"/>
  <c r="P249" i="2"/>
  <c r="Q249" i="2" s="1"/>
  <c r="O249" i="2"/>
  <c r="M249" i="2"/>
  <c r="N249" i="2" s="1"/>
  <c r="V248" i="2"/>
  <c r="U248" i="2"/>
  <c r="T248" i="2"/>
  <c r="S248" i="2"/>
  <c r="R248" i="2"/>
  <c r="P248" i="2"/>
  <c r="Q248" i="2" s="1"/>
  <c r="O248" i="2"/>
  <c r="M248" i="2"/>
  <c r="N248" i="2" s="1"/>
  <c r="V247" i="2"/>
  <c r="U247" i="2"/>
  <c r="T247" i="2"/>
  <c r="S247" i="2"/>
  <c r="R247" i="2"/>
  <c r="P247" i="2"/>
  <c r="Q247" i="2" s="1"/>
  <c r="O247" i="2"/>
  <c r="M247" i="2"/>
  <c r="N247" i="2" s="1"/>
  <c r="V246" i="2"/>
  <c r="U246" i="2"/>
  <c r="T246" i="2"/>
  <c r="S246" i="2"/>
  <c r="R246" i="2"/>
  <c r="P246" i="2"/>
  <c r="Q246" i="2" s="1"/>
  <c r="O246" i="2"/>
  <c r="M246" i="2"/>
  <c r="N246" i="2" s="1"/>
  <c r="V245" i="2"/>
  <c r="U245" i="2"/>
  <c r="T245" i="2"/>
  <c r="S245" i="2"/>
  <c r="R245" i="2"/>
  <c r="P245" i="2"/>
  <c r="Q245" i="2" s="1"/>
  <c r="O245" i="2"/>
  <c r="M245" i="2"/>
  <c r="N245" i="2" s="1"/>
  <c r="V244" i="2"/>
  <c r="U244" i="2"/>
  <c r="T244" i="2"/>
  <c r="S244" i="2"/>
  <c r="R244" i="2"/>
  <c r="P244" i="2"/>
  <c r="Q244" i="2" s="1"/>
  <c r="O244" i="2"/>
  <c r="M244" i="2"/>
  <c r="N244" i="2" s="1"/>
  <c r="V243" i="2"/>
  <c r="U243" i="2"/>
  <c r="T243" i="2"/>
  <c r="S243" i="2"/>
  <c r="R243" i="2"/>
  <c r="P243" i="2"/>
  <c r="Q243" i="2" s="1"/>
  <c r="O243" i="2"/>
  <c r="M243" i="2"/>
  <c r="N243" i="2" s="1"/>
  <c r="V242" i="2"/>
  <c r="U242" i="2"/>
  <c r="T242" i="2"/>
  <c r="S242" i="2"/>
  <c r="R242" i="2"/>
  <c r="P242" i="2"/>
  <c r="Q242" i="2" s="1"/>
  <c r="O242" i="2"/>
  <c r="M242" i="2"/>
  <c r="N242" i="2" s="1"/>
  <c r="V241" i="2"/>
  <c r="U241" i="2"/>
  <c r="T241" i="2"/>
  <c r="S241" i="2"/>
  <c r="R241" i="2"/>
  <c r="P241" i="2"/>
  <c r="Q241" i="2" s="1"/>
  <c r="O241" i="2"/>
  <c r="M241" i="2"/>
  <c r="N241" i="2" s="1"/>
  <c r="V240" i="2"/>
  <c r="U240" i="2"/>
  <c r="T240" i="2"/>
  <c r="S240" i="2"/>
  <c r="R240" i="2"/>
  <c r="P240" i="2"/>
  <c r="Q240" i="2" s="1"/>
  <c r="O240" i="2"/>
  <c r="M240" i="2"/>
  <c r="N240" i="2" s="1"/>
  <c r="V239" i="2"/>
  <c r="U239" i="2"/>
  <c r="T239" i="2"/>
  <c r="S239" i="2"/>
  <c r="R239" i="2"/>
  <c r="P239" i="2"/>
  <c r="Q239" i="2" s="1"/>
  <c r="O239" i="2"/>
  <c r="M239" i="2"/>
  <c r="N239" i="2" s="1"/>
  <c r="V238" i="2"/>
  <c r="U238" i="2"/>
  <c r="T238" i="2"/>
  <c r="S238" i="2"/>
  <c r="R238" i="2"/>
  <c r="P238" i="2"/>
  <c r="Q238" i="2" s="1"/>
  <c r="O238" i="2"/>
  <c r="M238" i="2"/>
  <c r="N238" i="2" s="1"/>
  <c r="V237" i="2"/>
  <c r="U237" i="2"/>
  <c r="T237" i="2"/>
  <c r="S237" i="2"/>
  <c r="R237" i="2"/>
  <c r="P237" i="2"/>
  <c r="Q237" i="2" s="1"/>
  <c r="O237" i="2"/>
  <c r="M237" i="2"/>
  <c r="N237" i="2" s="1"/>
  <c r="V236" i="2"/>
  <c r="U236" i="2"/>
  <c r="T236" i="2"/>
  <c r="S236" i="2"/>
  <c r="R236" i="2"/>
  <c r="P236" i="2"/>
  <c r="Q236" i="2" s="1"/>
  <c r="O236" i="2"/>
  <c r="M236" i="2"/>
  <c r="N236" i="2" s="1"/>
  <c r="V235" i="2"/>
  <c r="U235" i="2"/>
  <c r="T235" i="2"/>
  <c r="S235" i="2"/>
  <c r="R235" i="2"/>
  <c r="P235" i="2"/>
  <c r="Q235" i="2" s="1"/>
  <c r="O235" i="2"/>
  <c r="M235" i="2"/>
  <c r="N235" i="2" s="1"/>
  <c r="V234" i="2"/>
  <c r="U234" i="2"/>
  <c r="T234" i="2"/>
  <c r="S234" i="2"/>
  <c r="R234" i="2"/>
  <c r="P234" i="2"/>
  <c r="Q234" i="2" s="1"/>
  <c r="O234" i="2"/>
  <c r="M234" i="2"/>
  <c r="N234" i="2" s="1"/>
  <c r="V233" i="2"/>
  <c r="U233" i="2"/>
  <c r="T233" i="2"/>
  <c r="S233" i="2"/>
  <c r="R233" i="2"/>
  <c r="P233" i="2"/>
  <c r="Q233" i="2" s="1"/>
  <c r="O233" i="2"/>
  <c r="M233" i="2"/>
  <c r="N233" i="2" s="1"/>
  <c r="V232" i="2"/>
  <c r="U232" i="2"/>
  <c r="T232" i="2"/>
  <c r="S232" i="2"/>
  <c r="R232" i="2"/>
  <c r="P232" i="2"/>
  <c r="Q232" i="2" s="1"/>
  <c r="O232" i="2"/>
  <c r="M232" i="2"/>
  <c r="N232" i="2" s="1"/>
  <c r="V231" i="2"/>
  <c r="U231" i="2"/>
  <c r="T231" i="2"/>
  <c r="S231" i="2"/>
  <c r="R231" i="2"/>
  <c r="P231" i="2"/>
  <c r="Q231" i="2" s="1"/>
  <c r="O231" i="2"/>
  <c r="M231" i="2"/>
  <c r="N231" i="2" s="1"/>
  <c r="V230" i="2"/>
  <c r="U230" i="2"/>
  <c r="T230" i="2"/>
  <c r="S230" i="2"/>
  <c r="R230" i="2"/>
  <c r="P230" i="2"/>
  <c r="Q230" i="2" s="1"/>
  <c r="O230" i="2"/>
  <c r="M230" i="2"/>
  <c r="N230" i="2" s="1"/>
  <c r="V229" i="2"/>
  <c r="U229" i="2"/>
  <c r="T229" i="2"/>
  <c r="S229" i="2"/>
  <c r="R229" i="2"/>
  <c r="P229" i="2"/>
  <c r="Q229" i="2" s="1"/>
  <c r="O229" i="2"/>
  <c r="M229" i="2"/>
  <c r="N229" i="2" s="1"/>
  <c r="V228" i="2"/>
  <c r="U228" i="2"/>
  <c r="T228" i="2"/>
  <c r="S228" i="2"/>
  <c r="R228" i="2"/>
  <c r="P228" i="2"/>
  <c r="Q228" i="2" s="1"/>
  <c r="O228" i="2"/>
  <c r="M228" i="2"/>
  <c r="N228" i="2" s="1"/>
  <c r="V227" i="2"/>
  <c r="U227" i="2"/>
  <c r="T227" i="2"/>
  <c r="S227" i="2"/>
  <c r="R227" i="2"/>
  <c r="P227" i="2"/>
  <c r="Q227" i="2" s="1"/>
  <c r="O227" i="2"/>
  <c r="M227" i="2"/>
  <c r="N227" i="2" s="1"/>
  <c r="V226" i="2"/>
  <c r="U226" i="2"/>
  <c r="T226" i="2"/>
  <c r="S226" i="2"/>
  <c r="R226" i="2"/>
  <c r="P226" i="2"/>
  <c r="Q226" i="2" s="1"/>
  <c r="O226" i="2"/>
  <c r="M226" i="2"/>
  <c r="N226" i="2" s="1"/>
  <c r="V225" i="2"/>
  <c r="U225" i="2"/>
  <c r="T225" i="2"/>
  <c r="S225" i="2"/>
  <c r="R225" i="2"/>
  <c r="P225" i="2"/>
  <c r="Q225" i="2" s="1"/>
  <c r="O225" i="2"/>
  <c r="M225" i="2"/>
  <c r="N225" i="2" s="1"/>
  <c r="V224" i="2"/>
  <c r="U224" i="2"/>
  <c r="T224" i="2"/>
  <c r="S224" i="2"/>
  <c r="R224" i="2"/>
  <c r="P224" i="2"/>
  <c r="Q224" i="2" s="1"/>
  <c r="O224" i="2"/>
  <c r="M224" i="2"/>
  <c r="N224" i="2" s="1"/>
  <c r="V223" i="2"/>
  <c r="U223" i="2"/>
  <c r="T223" i="2"/>
  <c r="S223" i="2"/>
  <c r="R223" i="2"/>
  <c r="P223" i="2"/>
  <c r="Q223" i="2" s="1"/>
  <c r="O223" i="2"/>
  <c r="M223" i="2"/>
  <c r="N223" i="2" s="1"/>
  <c r="V222" i="2"/>
  <c r="U222" i="2"/>
  <c r="T222" i="2"/>
  <c r="S222" i="2"/>
  <c r="R222" i="2"/>
  <c r="P222" i="2"/>
  <c r="Q222" i="2" s="1"/>
  <c r="O222" i="2"/>
  <c r="M222" i="2"/>
  <c r="N222" i="2" s="1"/>
  <c r="V221" i="2"/>
  <c r="U221" i="2"/>
  <c r="T221" i="2"/>
  <c r="S221" i="2"/>
  <c r="R221" i="2"/>
  <c r="P221" i="2"/>
  <c r="Q221" i="2" s="1"/>
  <c r="O221" i="2"/>
  <c r="M221" i="2"/>
  <c r="N221" i="2" s="1"/>
  <c r="V220" i="2"/>
  <c r="U220" i="2"/>
  <c r="T220" i="2"/>
  <c r="S220" i="2"/>
  <c r="R220" i="2"/>
  <c r="P220" i="2"/>
  <c r="Q220" i="2" s="1"/>
  <c r="O220" i="2"/>
  <c r="M220" i="2"/>
  <c r="N220" i="2" s="1"/>
  <c r="V219" i="2"/>
  <c r="U219" i="2"/>
  <c r="T219" i="2"/>
  <c r="S219" i="2"/>
  <c r="R219" i="2"/>
  <c r="P219" i="2"/>
  <c r="Q219" i="2" s="1"/>
  <c r="O219" i="2"/>
  <c r="M219" i="2"/>
  <c r="N219" i="2" s="1"/>
  <c r="V218" i="2"/>
  <c r="U218" i="2"/>
  <c r="T218" i="2"/>
  <c r="S218" i="2"/>
  <c r="R218" i="2"/>
  <c r="P218" i="2"/>
  <c r="Q218" i="2" s="1"/>
  <c r="O218" i="2"/>
  <c r="M218" i="2"/>
  <c r="N218" i="2" s="1"/>
  <c r="V217" i="2"/>
  <c r="U217" i="2"/>
  <c r="T217" i="2"/>
  <c r="S217" i="2"/>
  <c r="R217" i="2"/>
  <c r="P217" i="2"/>
  <c r="Q217" i="2" s="1"/>
  <c r="O217" i="2"/>
  <c r="M217" i="2"/>
  <c r="N217" i="2" s="1"/>
  <c r="V216" i="2"/>
  <c r="U216" i="2"/>
  <c r="T216" i="2"/>
  <c r="S216" i="2"/>
  <c r="R216" i="2"/>
  <c r="P216" i="2"/>
  <c r="Q216" i="2" s="1"/>
  <c r="O216" i="2"/>
  <c r="M216" i="2"/>
  <c r="N216" i="2" s="1"/>
  <c r="V215" i="2"/>
  <c r="U215" i="2"/>
  <c r="T215" i="2"/>
  <c r="S215" i="2"/>
  <c r="R215" i="2"/>
  <c r="P215" i="2"/>
  <c r="Q215" i="2" s="1"/>
  <c r="O215" i="2"/>
  <c r="M215" i="2"/>
  <c r="N215" i="2" s="1"/>
  <c r="V214" i="2"/>
  <c r="U214" i="2"/>
  <c r="T214" i="2"/>
  <c r="S214" i="2"/>
  <c r="R214" i="2"/>
  <c r="P214" i="2"/>
  <c r="Q214" i="2" s="1"/>
  <c r="O214" i="2"/>
  <c r="M214" i="2"/>
  <c r="N214" i="2" s="1"/>
  <c r="V213" i="2"/>
  <c r="U213" i="2"/>
  <c r="T213" i="2"/>
  <c r="S213" i="2"/>
  <c r="R213" i="2"/>
  <c r="P213" i="2"/>
  <c r="Q213" i="2" s="1"/>
  <c r="O213" i="2"/>
  <c r="M213" i="2"/>
  <c r="N213" i="2" s="1"/>
  <c r="V212" i="2"/>
  <c r="U212" i="2"/>
  <c r="T212" i="2"/>
  <c r="S212" i="2"/>
  <c r="R212" i="2"/>
  <c r="P212" i="2"/>
  <c r="Q212" i="2" s="1"/>
  <c r="O212" i="2"/>
  <c r="M212" i="2"/>
  <c r="N212" i="2" s="1"/>
  <c r="V211" i="2"/>
  <c r="U211" i="2"/>
  <c r="T211" i="2"/>
  <c r="S211" i="2"/>
  <c r="R211" i="2"/>
  <c r="P211" i="2"/>
  <c r="Q211" i="2" s="1"/>
  <c r="O211" i="2"/>
  <c r="M211" i="2"/>
  <c r="N211" i="2" s="1"/>
  <c r="V210" i="2"/>
  <c r="U210" i="2"/>
  <c r="T210" i="2"/>
  <c r="S210" i="2"/>
  <c r="R210" i="2"/>
  <c r="P210" i="2"/>
  <c r="Q210" i="2" s="1"/>
  <c r="O210" i="2"/>
  <c r="M210" i="2"/>
  <c r="N210" i="2" s="1"/>
  <c r="V209" i="2"/>
  <c r="U209" i="2"/>
  <c r="T209" i="2"/>
  <c r="S209" i="2"/>
  <c r="R209" i="2"/>
  <c r="P209" i="2"/>
  <c r="Q209" i="2" s="1"/>
  <c r="O209" i="2"/>
  <c r="M209" i="2"/>
  <c r="N209" i="2" s="1"/>
  <c r="V208" i="2"/>
  <c r="U208" i="2"/>
  <c r="T208" i="2"/>
  <c r="S208" i="2"/>
  <c r="R208" i="2"/>
  <c r="P208" i="2"/>
  <c r="Q208" i="2" s="1"/>
  <c r="O208" i="2"/>
  <c r="M208" i="2"/>
  <c r="N208" i="2" s="1"/>
  <c r="V207" i="2"/>
  <c r="U207" i="2"/>
  <c r="T207" i="2"/>
  <c r="S207" i="2"/>
  <c r="R207" i="2"/>
  <c r="P207" i="2"/>
  <c r="Q207" i="2" s="1"/>
  <c r="O207" i="2"/>
  <c r="M207" i="2"/>
  <c r="N207" i="2" s="1"/>
  <c r="V206" i="2"/>
  <c r="U206" i="2"/>
  <c r="T206" i="2"/>
  <c r="S206" i="2"/>
  <c r="R206" i="2"/>
  <c r="P206" i="2"/>
  <c r="Q206" i="2" s="1"/>
  <c r="O206" i="2"/>
  <c r="M206" i="2"/>
  <c r="N206" i="2" s="1"/>
  <c r="V205" i="2"/>
  <c r="U205" i="2"/>
  <c r="T205" i="2"/>
  <c r="S205" i="2"/>
  <c r="R205" i="2"/>
  <c r="P205" i="2"/>
  <c r="Q205" i="2" s="1"/>
  <c r="O205" i="2"/>
  <c r="M205" i="2"/>
  <c r="N205" i="2" s="1"/>
  <c r="V204" i="2"/>
  <c r="U204" i="2"/>
  <c r="T204" i="2"/>
  <c r="S204" i="2"/>
  <c r="R204" i="2"/>
  <c r="P204" i="2"/>
  <c r="Q204" i="2" s="1"/>
  <c r="O204" i="2"/>
  <c r="M204" i="2"/>
  <c r="N204" i="2" s="1"/>
  <c r="V203" i="2"/>
  <c r="U203" i="2"/>
  <c r="T203" i="2"/>
  <c r="S203" i="2"/>
  <c r="R203" i="2"/>
  <c r="P203" i="2"/>
  <c r="Q203" i="2" s="1"/>
  <c r="O203" i="2"/>
  <c r="M203" i="2"/>
  <c r="N203" i="2" s="1"/>
  <c r="V202" i="2"/>
  <c r="U202" i="2"/>
  <c r="T202" i="2"/>
  <c r="S202" i="2"/>
  <c r="R202" i="2"/>
  <c r="P202" i="2"/>
  <c r="Q202" i="2" s="1"/>
  <c r="O202" i="2"/>
  <c r="M202" i="2"/>
  <c r="N202" i="2" s="1"/>
  <c r="V201" i="2"/>
  <c r="U201" i="2"/>
  <c r="T201" i="2"/>
  <c r="S201" i="2"/>
  <c r="R201" i="2"/>
  <c r="P201" i="2"/>
  <c r="Q201" i="2" s="1"/>
  <c r="O201" i="2"/>
  <c r="M201" i="2"/>
  <c r="N201" i="2" s="1"/>
  <c r="V200" i="2"/>
  <c r="U200" i="2"/>
  <c r="T200" i="2"/>
  <c r="S200" i="2"/>
  <c r="R200" i="2"/>
  <c r="P200" i="2"/>
  <c r="Q200" i="2" s="1"/>
  <c r="O200" i="2"/>
  <c r="M200" i="2"/>
  <c r="N200" i="2" s="1"/>
  <c r="V199" i="2"/>
  <c r="U199" i="2"/>
  <c r="T199" i="2"/>
  <c r="S199" i="2"/>
  <c r="R199" i="2"/>
  <c r="P199" i="2"/>
  <c r="Q199" i="2" s="1"/>
  <c r="O199" i="2"/>
  <c r="M199" i="2"/>
  <c r="N199" i="2" s="1"/>
  <c r="V198" i="2"/>
  <c r="U198" i="2"/>
  <c r="T198" i="2"/>
  <c r="S198" i="2"/>
  <c r="R198" i="2"/>
  <c r="P198" i="2"/>
  <c r="Q198" i="2" s="1"/>
  <c r="O198" i="2"/>
  <c r="M198" i="2"/>
  <c r="N198" i="2" s="1"/>
  <c r="V197" i="2"/>
  <c r="U197" i="2"/>
  <c r="T197" i="2"/>
  <c r="S197" i="2"/>
  <c r="R197" i="2"/>
  <c r="P197" i="2"/>
  <c r="Q197" i="2" s="1"/>
  <c r="O197" i="2"/>
  <c r="M197" i="2"/>
  <c r="N197" i="2" s="1"/>
  <c r="V196" i="2"/>
  <c r="U196" i="2"/>
  <c r="T196" i="2"/>
  <c r="S196" i="2"/>
  <c r="R196" i="2"/>
  <c r="P196" i="2"/>
  <c r="Q196" i="2" s="1"/>
  <c r="O196" i="2"/>
  <c r="M196" i="2"/>
  <c r="N196" i="2" s="1"/>
  <c r="V195" i="2"/>
  <c r="U195" i="2"/>
  <c r="T195" i="2"/>
  <c r="S195" i="2"/>
  <c r="R195" i="2"/>
  <c r="P195" i="2"/>
  <c r="Q195" i="2" s="1"/>
  <c r="O195" i="2"/>
  <c r="M195" i="2"/>
  <c r="N195" i="2" s="1"/>
  <c r="V194" i="2"/>
  <c r="U194" i="2"/>
  <c r="T194" i="2"/>
  <c r="S194" i="2"/>
  <c r="R194" i="2"/>
  <c r="P194" i="2"/>
  <c r="Q194" i="2" s="1"/>
  <c r="O194" i="2"/>
  <c r="M194" i="2"/>
  <c r="N194" i="2" s="1"/>
  <c r="V193" i="2"/>
  <c r="U193" i="2"/>
  <c r="T193" i="2"/>
  <c r="S193" i="2"/>
  <c r="R193" i="2"/>
  <c r="P193" i="2"/>
  <c r="Q193" i="2" s="1"/>
  <c r="O193" i="2"/>
  <c r="M193" i="2"/>
  <c r="N193" i="2" s="1"/>
  <c r="V192" i="2"/>
  <c r="U192" i="2"/>
  <c r="T192" i="2"/>
  <c r="S192" i="2"/>
  <c r="R192" i="2"/>
  <c r="P192" i="2"/>
  <c r="Q192" i="2" s="1"/>
  <c r="O192" i="2"/>
  <c r="M192" i="2"/>
  <c r="N192" i="2" s="1"/>
  <c r="V191" i="2"/>
  <c r="U191" i="2"/>
  <c r="T191" i="2"/>
  <c r="S191" i="2"/>
  <c r="R191" i="2"/>
  <c r="P191" i="2"/>
  <c r="Q191" i="2" s="1"/>
  <c r="O191" i="2"/>
  <c r="M191" i="2"/>
  <c r="N191" i="2" s="1"/>
  <c r="V190" i="2"/>
  <c r="U190" i="2"/>
  <c r="T190" i="2"/>
  <c r="S190" i="2"/>
  <c r="R190" i="2"/>
  <c r="P190" i="2"/>
  <c r="Q190" i="2" s="1"/>
  <c r="O190" i="2"/>
  <c r="M190" i="2"/>
  <c r="N190" i="2" s="1"/>
  <c r="V189" i="2"/>
  <c r="U189" i="2"/>
  <c r="T189" i="2"/>
  <c r="S189" i="2"/>
  <c r="R189" i="2"/>
  <c r="P189" i="2"/>
  <c r="Q189" i="2" s="1"/>
  <c r="O189" i="2"/>
  <c r="M189" i="2"/>
  <c r="N189" i="2" s="1"/>
  <c r="V188" i="2"/>
  <c r="U188" i="2"/>
  <c r="T188" i="2"/>
  <c r="S188" i="2"/>
  <c r="R188" i="2"/>
  <c r="P188" i="2"/>
  <c r="Q188" i="2" s="1"/>
  <c r="O188" i="2"/>
  <c r="M188" i="2"/>
  <c r="N188" i="2" s="1"/>
  <c r="V187" i="2"/>
  <c r="U187" i="2"/>
  <c r="T187" i="2"/>
  <c r="S187" i="2"/>
  <c r="R187" i="2"/>
  <c r="P187" i="2"/>
  <c r="Q187" i="2" s="1"/>
  <c r="O187" i="2"/>
  <c r="M187" i="2"/>
  <c r="N187" i="2" s="1"/>
  <c r="V186" i="2"/>
  <c r="U186" i="2"/>
  <c r="T186" i="2"/>
  <c r="S186" i="2"/>
  <c r="R186" i="2"/>
  <c r="P186" i="2"/>
  <c r="Q186" i="2" s="1"/>
  <c r="O186" i="2"/>
  <c r="M186" i="2"/>
  <c r="N186" i="2" s="1"/>
  <c r="V185" i="2"/>
  <c r="U185" i="2"/>
  <c r="T185" i="2"/>
  <c r="S185" i="2"/>
  <c r="R185" i="2"/>
  <c r="P185" i="2"/>
  <c r="Q185" i="2" s="1"/>
  <c r="O185" i="2"/>
  <c r="M185" i="2"/>
  <c r="N185" i="2" s="1"/>
  <c r="V184" i="2"/>
  <c r="U184" i="2"/>
  <c r="T184" i="2"/>
  <c r="S184" i="2"/>
  <c r="R184" i="2"/>
  <c r="P184" i="2"/>
  <c r="Q184" i="2" s="1"/>
  <c r="O184" i="2"/>
  <c r="M184" i="2"/>
  <c r="N184" i="2" s="1"/>
  <c r="V183" i="2"/>
  <c r="U183" i="2"/>
  <c r="T183" i="2"/>
  <c r="S183" i="2"/>
  <c r="R183" i="2"/>
  <c r="P183" i="2"/>
  <c r="Q183" i="2" s="1"/>
  <c r="O183" i="2"/>
  <c r="M183" i="2"/>
  <c r="N183" i="2" s="1"/>
  <c r="V182" i="2"/>
  <c r="U182" i="2"/>
  <c r="T182" i="2"/>
  <c r="S182" i="2"/>
  <c r="R182" i="2"/>
  <c r="P182" i="2"/>
  <c r="Q182" i="2" s="1"/>
  <c r="O182" i="2"/>
  <c r="M182" i="2"/>
  <c r="N182" i="2" s="1"/>
  <c r="V181" i="2"/>
  <c r="U181" i="2"/>
  <c r="T181" i="2"/>
  <c r="S181" i="2"/>
  <c r="R181" i="2"/>
  <c r="P181" i="2"/>
  <c r="Q181" i="2" s="1"/>
  <c r="O181" i="2"/>
  <c r="M181" i="2"/>
  <c r="N181" i="2" s="1"/>
  <c r="V180" i="2"/>
  <c r="U180" i="2"/>
  <c r="T180" i="2"/>
  <c r="S180" i="2"/>
  <c r="R180" i="2"/>
  <c r="P180" i="2"/>
  <c r="Q180" i="2" s="1"/>
  <c r="O180" i="2"/>
  <c r="M180" i="2"/>
  <c r="N180" i="2" s="1"/>
  <c r="V179" i="2"/>
  <c r="U179" i="2"/>
  <c r="T179" i="2"/>
  <c r="S179" i="2"/>
  <c r="R179" i="2"/>
  <c r="P179" i="2"/>
  <c r="Q179" i="2" s="1"/>
  <c r="O179" i="2"/>
  <c r="M179" i="2"/>
  <c r="N179" i="2" s="1"/>
  <c r="V178" i="2"/>
  <c r="U178" i="2"/>
  <c r="T178" i="2"/>
  <c r="S178" i="2"/>
  <c r="R178" i="2"/>
  <c r="P178" i="2"/>
  <c r="Q178" i="2" s="1"/>
  <c r="O178" i="2"/>
  <c r="M178" i="2"/>
  <c r="N178" i="2" s="1"/>
  <c r="V177" i="2"/>
  <c r="U177" i="2"/>
  <c r="T177" i="2"/>
  <c r="S177" i="2"/>
  <c r="R177" i="2"/>
  <c r="P177" i="2"/>
  <c r="Q177" i="2" s="1"/>
  <c r="O177" i="2"/>
  <c r="M177" i="2"/>
  <c r="N177" i="2" s="1"/>
  <c r="V176" i="2"/>
  <c r="U176" i="2"/>
  <c r="T176" i="2"/>
  <c r="S176" i="2"/>
  <c r="R176" i="2"/>
  <c r="P176" i="2"/>
  <c r="Q176" i="2" s="1"/>
  <c r="O176" i="2"/>
  <c r="M176" i="2"/>
  <c r="N176" i="2" s="1"/>
  <c r="V175" i="2"/>
  <c r="U175" i="2"/>
  <c r="T175" i="2"/>
  <c r="S175" i="2"/>
  <c r="R175" i="2"/>
  <c r="P175" i="2"/>
  <c r="Q175" i="2" s="1"/>
  <c r="O175" i="2"/>
  <c r="M175" i="2"/>
  <c r="N175" i="2" s="1"/>
  <c r="V174" i="2"/>
  <c r="U174" i="2"/>
  <c r="T174" i="2"/>
  <c r="S174" i="2"/>
  <c r="R174" i="2"/>
  <c r="P174" i="2"/>
  <c r="Q174" i="2" s="1"/>
  <c r="O174" i="2"/>
  <c r="M174" i="2"/>
  <c r="N174" i="2" s="1"/>
  <c r="V173" i="2"/>
  <c r="U173" i="2"/>
  <c r="T173" i="2"/>
  <c r="S173" i="2"/>
  <c r="R173" i="2"/>
  <c r="P173" i="2"/>
  <c r="Q173" i="2" s="1"/>
  <c r="O173" i="2"/>
  <c r="M173" i="2"/>
  <c r="N173" i="2" s="1"/>
  <c r="V172" i="2"/>
  <c r="U172" i="2"/>
  <c r="T172" i="2"/>
  <c r="S172" i="2"/>
  <c r="R172" i="2"/>
  <c r="P172" i="2"/>
  <c r="Q172" i="2" s="1"/>
  <c r="O172" i="2"/>
  <c r="M172" i="2"/>
  <c r="N172" i="2" s="1"/>
  <c r="V171" i="2"/>
  <c r="U171" i="2"/>
  <c r="T171" i="2"/>
  <c r="S171" i="2"/>
  <c r="R171" i="2"/>
  <c r="P171" i="2"/>
  <c r="Q171" i="2" s="1"/>
  <c r="O171" i="2"/>
  <c r="M171" i="2"/>
  <c r="N171" i="2" s="1"/>
  <c r="V170" i="2"/>
  <c r="U170" i="2"/>
  <c r="T170" i="2"/>
  <c r="S170" i="2"/>
  <c r="R170" i="2"/>
  <c r="P170" i="2"/>
  <c r="Q170" i="2" s="1"/>
  <c r="O170" i="2"/>
  <c r="M170" i="2"/>
  <c r="N170" i="2" s="1"/>
  <c r="V169" i="2"/>
  <c r="U169" i="2"/>
  <c r="T169" i="2"/>
  <c r="S169" i="2"/>
  <c r="R169" i="2"/>
  <c r="P169" i="2"/>
  <c r="Q169" i="2" s="1"/>
  <c r="O169" i="2"/>
  <c r="M169" i="2"/>
  <c r="N169" i="2" s="1"/>
  <c r="V168" i="2"/>
  <c r="U168" i="2"/>
  <c r="T168" i="2"/>
  <c r="S168" i="2"/>
  <c r="R168" i="2"/>
  <c r="P168" i="2"/>
  <c r="Q168" i="2" s="1"/>
  <c r="O168" i="2"/>
  <c r="M168" i="2"/>
  <c r="N168" i="2" s="1"/>
  <c r="V167" i="2"/>
  <c r="U167" i="2"/>
  <c r="T167" i="2"/>
  <c r="S167" i="2"/>
  <c r="R167" i="2"/>
  <c r="P167" i="2"/>
  <c r="Q167" i="2" s="1"/>
  <c r="O167" i="2"/>
  <c r="M167" i="2"/>
  <c r="N167" i="2" s="1"/>
  <c r="V166" i="2"/>
  <c r="U166" i="2"/>
  <c r="T166" i="2"/>
  <c r="S166" i="2"/>
  <c r="R166" i="2"/>
  <c r="P166" i="2"/>
  <c r="Q166" i="2" s="1"/>
  <c r="O166" i="2"/>
  <c r="M166" i="2"/>
  <c r="N166" i="2" s="1"/>
  <c r="V165" i="2"/>
  <c r="U165" i="2"/>
  <c r="T165" i="2"/>
  <c r="S165" i="2"/>
  <c r="R165" i="2"/>
  <c r="P165" i="2"/>
  <c r="Q165" i="2" s="1"/>
  <c r="O165" i="2"/>
  <c r="M165" i="2"/>
  <c r="N165" i="2" s="1"/>
  <c r="V164" i="2"/>
  <c r="U164" i="2"/>
  <c r="T164" i="2"/>
  <c r="S164" i="2"/>
  <c r="R164" i="2"/>
  <c r="P164" i="2"/>
  <c r="Q164" i="2" s="1"/>
  <c r="O164" i="2"/>
  <c r="M164" i="2"/>
  <c r="N164" i="2" s="1"/>
  <c r="V163" i="2"/>
  <c r="U163" i="2"/>
  <c r="T163" i="2"/>
  <c r="S163" i="2"/>
  <c r="R163" i="2"/>
  <c r="P163" i="2"/>
  <c r="Q163" i="2" s="1"/>
  <c r="O163" i="2"/>
  <c r="M163" i="2"/>
  <c r="N163" i="2" s="1"/>
  <c r="V162" i="2"/>
  <c r="U162" i="2"/>
  <c r="T162" i="2"/>
  <c r="S162" i="2"/>
  <c r="R162" i="2"/>
  <c r="P162" i="2"/>
  <c r="Q162" i="2" s="1"/>
  <c r="O162" i="2"/>
  <c r="M162" i="2"/>
  <c r="N162" i="2" s="1"/>
  <c r="V161" i="2"/>
  <c r="U161" i="2"/>
  <c r="T161" i="2"/>
  <c r="S161" i="2"/>
  <c r="R161" i="2"/>
  <c r="P161" i="2"/>
  <c r="Q161" i="2" s="1"/>
  <c r="O161" i="2"/>
  <c r="M161" i="2"/>
  <c r="N161" i="2" s="1"/>
  <c r="V160" i="2"/>
  <c r="U160" i="2"/>
  <c r="T160" i="2"/>
  <c r="S160" i="2"/>
  <c r="R160" i="2"/>
  <c r="P160" i="2"/>
  <c r="Q160" i="2" s="1"/>
  <c r="O160" i="2"/>
  <c r="M160" i="2"/>
  <c r="N160" i="2" s="1"/>
  <c r="V159" i="2"/>
  <c r="U159" i="2"/>
  <c r="T159" i="2"/>
  <c r="S159" i="2"/>
  <c r="R159" i="2"/>
  <c r="P159" i="2"/>
  <c r="Q159" i="2" s="1"/>
  <c r="O159" i="2"/>
  <c r="M159" i="2"/>
  <c r="N159" i="2" s="1"/>
  <c r="V158" i="2"/>
  <c r="U158" i="2"/>
  <c r="T158" i="2"/>
  <c r="S158" i="2"/>
  <c r="R158" i="2"/>
  <c r="P158" i="2"/>
  <c r="Q158" i="2" s="1"/>
  <c r="O158" i="2"/>
  <c r="M158" i="2"/>
  <c r="N158" i="2" s="1"/>
  <c r="V157" i="2"/>
  <c r="U157" i="2"/>
  <c r="T157" i="2"/>
  <c r="S157" i="2"/>
  <c r="R157" i="2"/>
  <c r="P157" i="2"/>
  <c r="Q157" i="2" s="1"/>
  <c r="O157" i="2"/>
  <c r="M157" i="2"/>
  <c r="N157" i="2" s="1"/>
  <c r="V156" i="2"/>
  <c r="U156" i="2"/>
  <c r="T156" i="2"/>
  <c r="S156" i="2"/>
  <c r="R156" i="2"/>
  <c r="P156" i="2"/>
  <c r="Q156" i="2" s="1"/>
  <c r="O156" i="2"/>
  <c r="M156" i="2"/>
  <c r="N156" i="2" s="1"/>
  <c r="V155" i="2"/>
  <c r="U155" i="2"/>
  <c r="T155" i="2"/>
  <c r="S155" i="2"/>
  <c r="R155" i="2"/>
  <c r="P155" i="2"/>
  <c r="Q155" i="2" s="1"/>
  <c r="O155" i="2"/>
  <c r="M155" i="2"/>
  <c r="N155" i="2" s="1"/>
  <c r="V154" i="2"/>
  <c r="U154" i="2"/>
  <c r="T154" i="2"/>
  <c r="S154" i="2"/>
  <c r="R154" i="2"/>
  <c r="P154" i="2"/>
  <c r="Q154" i="2" s="1"/>
  <c r="O154" i="2"/>
  <c r="M154" i="2"/>
  <c r="N154" i="2" s="1"/>
  <c r="V153" i="2"/>
  <c r="U153" i="2"/>
  <c r="T153" i="2"/>
  <c r="S153" i="2"/>
  <c r="R153" i="2"/>
  <c r="P153" i="2"/>
  <c r="Q153" i="2" s="1"/>
  <c r="O153" i="2"/>
  <c r="M153" i="2"/>
  <c r="N153" i="2" s="1"/>
  <c r="V152" i="2"/>
  <c r="U152" i="2"/>
  <c r="T152" i="2"/>
  <c r="S152" i="2"/>
  <c r="R152" i="2"/>
  <c r="P152" i="2"/>
  <c r="Q152" i="2" s="1"/>
  <c r="O152" i="2"/>
  <c r="M152" i="2"/>
  <c r="N152" i="2" s="1"/>
  <c r="V151" i="2"/>
  <c r="U151" i="2"/>
  <c r="T151" i="2"/>
  <c r="S151" i="2"/>
  <c r="R151" i="2"/>
  <c r="P151" i="2"/>
  <c r="Q151" i="2" s="1"/>
  <c r="O151" i="2"/>
  <c r="M151" i="2"/>
  <c r="N151" i="2" s="1"/>
  <c r="V150" i="2"/>
  <c r="U150" i="2"/>
  <c r="T150" i="2"/>
  <c r="S150" i="2"/>
  <c r="R150" i="2"/>
  <c r="P150" i="2"/>
  <c r="Q150" i="2" s="1"/>
  <c r="O150" i="2"/>
  <c r="M150" i="2"/>
  <c r="N150" i="2" s="1"/>
  <c r="V149" i="2"/>
  <c r="U149" i="2"/>
  <c r="T149" i="2"/>
  <c r="S149" i="2"/>
  <c r="R149" i="2"/>
  <c r="P149" i="2"/>
  <c r="Q149" i="2" s="1"/>
  <c r="O149" i="2"/>
  <c r="M149" i="2"/>
  <c r="N149" i="2" s="1"/>
  <c r="V148" i="2"/>
  <c r="U148" i="2"/>
  <c r="T148" i="2"/>
  <c r="S148" i="2"/>
  <c r="R148" i="2"/>
  <c r="P148" i="2"/>
  <c r="Q148" i="2" s="1"/>
  <c r="O148" i="2"/>
  <c r="M148" i="2"/>
  <c r="N148" i="2" s="1"/>
  <c r="V147" i="2"/>
  <c r="U147" i="2"/>
  <c r="T147" i="2"/>
  <c r="S147" i="2"/>
  <c r="R147" i="2"/>
  <c r="P147" i="2"/>
  <c r="Q147" i="2" s="1"/>
  <c r="O147" i="2"/>
  <c r="M147" i="2"/>
  <c r="N147" i="2" s="1"/>
  <c r="V146" i="2"/>
  <c r="U146" i="2"/>
  <c r="T146" i="2"/>
  <c r="S146" i="2"/>
  <c r="R146" i="2"/>
  <c r="Q146" i="2"/>
  <c r="P146" i="2"/>
  <c r="O146" i="2"/>
  <c r="M146" i="2"/>
  <c r="N146" i="2" s="1"/>
  <c r="V145" i="2"/>
  <c r="U145" i="2"/>
  <c r="T145" i="2"/>
  <c r="S145" i="2"/>
  <c r="R145" i="2"/>
  <c r="P145" i="2"/>
  <c r="Q145" i="2" s="1"/>
  <c r="O145" i="2"/>
  <c r="M145" i="2"/>
  <c r="N145" i="2" s="1"/>
  <c r="V144" i="2"/>
  <c r="U144" i="2"/>
  <c r="T144" i="2"/>
  <c r="S144" i="2"/>
  <c r="R144" i="2"/>
  <c r="P144" i="2"/>
  <c r="Q144" i="2" s="1"/>
  <c r="O144" i="2"/>
  <c r="M144" i="2"/>
  <c r="N144" i="2" s="1"/>
  <c r="V143" i="2"/>
  <c r="U143" i="2"/>
  <c r="T143" i="2"/>
  <c r="S143" i="2"/>
  <c r="R143" i="2"/>
  <c r="P143" i="2"/>
  <c r="Q143" i="2" s="1"/>
  <c r="O143" i="2"/>
  <c r="M143" i="2"/>
  <c r="N143" i="2" s="1"/>
  <c r="V142" i="2"/>
  <c r="U142" i="2"/>
  <c r="T142" i="2"/>
  <c r="S142" i="2"/>
  <c r="R142" i="2"/>
  <c r="P142" i="2"/>
  <c r="Q142" i="2" s="1"/>
  <c r="O142" i="2"/>
  <c r="M142" i="2"/>
  <c r="N142" i="2" s="1"/>
  <c r="V141" i="2"/>
  <c r="U141" i="2"/>
  <c r="T141" i="2"/>
  <c r="S141" i="2"/>
  <c r="R141" i="2"/>
  <c r="P141" i="2"/>
  <c r="Q141" i="2" s="1"/>
  <c r="O141" i="2"/>
  <c r="M141" i="2"/>
  <c r="N141" i="2" s="1"/>
  <c r="V140" i="2"/>
  <c r="U140" i="2"/>
  <c r="T140" i="2"/>
  <c r="S140" i="2"/>
  <c r="R140" i="2"/>
  <c r="P140" i="2"/>
  <c r="Q140" i="2" s="1"/>
  <c r="O140" i="2"/>
  <c r="M140" i="2"/>
  <c r="N140" i="2" s="1"/>
  <c r="V139" i="2"/>
  <c r="U139" i="2"/>
  <c r="T139" i="2"/>
  <c r="S139" i="2"/>
  <c r="R139" i="2"/>
  <c r="P139" i="2"/>
  <c r="Q139" i="2" s="1"/>
  <c r="O139" i="2"/>
  <c r="M139" i="2"/>
  <c r="N139" i="2" s="1"/>
  <c r="V138" i="2"/>
  <c r="U138" i="2"/>
  <c r="T138" i="2"/>
  <c r="S138" i="2"/>
  <c r="R138" i="2"/>
  <c r="P138" i="2"/>
  <c r="Q138" i="2" s="1"/>
  <c r="O138" i="2"/>
  <c r="M138" i="2"/>
  <c r="N138" i="2" s="1"/>
  <c r="V137" i="2"/>
  <c r="U137" i="2"/>
  <c r="T137" i="2"/>
  <c r="S137" i="2"/>
  <c r="R137" i="2"/>
  <c r="P137" i="2"/>
  <c r="Q137" i="2" s="1"/>
  <c r="O137" i="2"/>
  <c r="M137" i="2"/>
  <c r="N137" i="2" s="1"/>
  <c r="V136" i="2"/>
  <c r="U136" i="2"/>
  <c r="T136" i="2"/>
  <c r="S136" i="2"/>
  <c r="R136" i="2"/>
  <c r="P136" i="2"/>
  <c r="Q136" i="2" s="1"/>
  <c r="O136" i="2"/>
  <c r="M136" i="2"/>
  <c r="N136" i="2" s="1"/>
  <c r="V135" i="2"/>
  <c r="U135" i="2"/>
  <c r="T135" i="2"/>
  <c r="S135" i="2"/>
  <c r="R135" i="2"/>
  <c r="P135" i="2"/>
  <c r="Q135" i="2" s="1"/>
  <c r="O135" i="2"/>
  <c r="M135" i="2"/>
  <c r="N135" i="2" s="1"/>
  <c r="V134" i="2"/>
  <c r="U134" i="2"/>
  <c r="T134" i="2"/>
  <c r="S134" i="2"/>
  <c r="R134" i="2"/>
  <c r="P134" i="2"/>
  <c r="Q134" i="2" s="1"/>
  <c r="O134" i="2"/>
  <c r="M134" i="2"/>
  <c r="N134" i="2" s="1"/>
  <c r="V133" i="2"/>
  <c r="U133" i="2"/>
  <c r="T133" i="2"/>
  <c r="S133" i="2"/>
  <c r="R133" i="2"/>
  <c r="P133" i="2"/>
  <c r="Q133" i="2" s="1"/>
  <c r="O133" i="2"/>
  <c r="M133" i="2"/>
  <c r="V132" i="2"/>
  <c r="U132" i="2"/>
  <c r="T132" i="2"/>
  <c r="S132" i="2"/>
  <c r="R132" i="2"/>
  <c r="P132" i="2"/>
  <c r="Q132" i="2" s="1"/>
  <c r="O132" i="2"/>
  <c r="M132" i="2"/>
  <c r="V131" i="2"/>
  <c r="U131" i="2"/>
  <c r="T131" i="2"/>
  <c r="S131" i="2"/>
  <c r="R131" i="2"/>
  <c r="P131" i="2"/>
  <c r="Q131" i="2" s="1"/>
  <c r="O131" i="2"/>
  <c r="M131" i="2"/>
  <c r="V130" i="2"/>
  <c r="U130" i="2"/>
  <c r="T130" i="2"/>
  <c r="S130" i="2"/>
  <c r="R130" i="2"/>
  <c r="P130" i="2"/>
  <c r="Q130" i="2" s="1"/>
  <c r="O130" i="2"/>
  <c r="M130" i="2"/>
  <c r="V129" i="2"/>
  <c r="U129" i="2"/>
  <c r="T129" i="2"/>
  <c r="S129" i="2"/>
  <c r="R129" i="2"/>
  <c r="P129" i="2"/>
  <c r="Q129" i="2" s="1"/>
  <c r="O129" i="2"/>
  <c r="M129" i="2"/>
  <c r="V128" i="2"/>
  <c r="U128" i="2"/>
  <c r="T128" i="2"/>
  <c r="S128" i="2"/>
  <c r="R128" i="2"/>
  <c r="P128" i="2"/>
  <c r="Q128" i="2" s="1"/>
  <c r="O128" i="2"/>
  <c r="M128" i="2"/>
  <c r="V127" i="2"/>
  <c r="U127" i="2"/>
  <c r="T127" i="2"/>
  <c r="S127" i="2"/>
  <c r="R127" i="2"/>
  <c r="P127" i="2"/>
  <c r="Q127" i="2" s="1"/>
  <c r="O127" i="2"/>
  <c r="M127" i="2"/>
  <c r="V126" i="2"/>
  <c r="U126" i="2"/>
  <c r="T126" i="2"/>
  <c r="S126" i="2"/>
  <c r="R126" i="2"/>
  <c r="P126" i="2"/>
  <c r="Q126" i="2" s="1"/>
  <c r="O126" i="2"/>
  <c r="M126" i="2"/>
  <c r="V125" i="2"/>
  <c r="U125" i="2"/>
  <c r="T125" i="2"/>
  <c r="S125" i="2"/>
  <c r="R125" i="2"/>
  <c r="P125" i="2"/>
  <c r="Q125" i="2" s="1"/>
  <c r="O125" i="2"/>
  <c r="M125" i="2"/>
  <c r="V124" i="2"/>
  <c r="U124" i="2"/>
  <c r="T124" i="2"/>
  <c r="S124" i="2"/>
  <c r="R124" i="2"/>
  <c r="P124" i="2"/>
  <c r="Q124" i="2" s="1"/>
  <c r="O124" i="2"/>
  <c r="M124" i="2"/>
  <c r="V123" i="2"/>
  <c r="U123" i="2"/>
  <c r="T123" i="2"/>
  <c r="S123" i="2"/>
  <c r="R123" i="2"/>
  <c r="P123" i="2"/>
  <c r="Q123" i="2" s="1"/>
  <c r="O123" i="2"/>
  <c r="M123" i="2"/>
  <c r="V122" i="2"/>
  <c r="U122" i="2"/>
  <c r="T122" i="2"/>
  <c r="S122" i="2"/>
  <c r="R122" i="2"/>
  <c r="P122" i="2"/>
  <c r="Q122" i="2" s="1"/>
  <c r="O122" i="2"/>
  <c r="M122" i="2"/>
  <c r="V121" i="2"/>
  <c r="U121" i="2"/>
  <c r="T121" i="2"/>
  <c r="S121" i="2"/>
  <c r="R121" i="2"/>
  <c r="P121" i="2"/>
  <c r="Q121" i="2" s="1"/>
  <c r="O121" i="2"/>
  <c r="M121" i="2"/>
  <c r="V120" i="2"/>
  <c r="U120" i="2"/>
  <c r="T120" i="2"/>
  <c r="S120" i="2"/>
  <c r="R120" i="2"/>
  <c r="P120" i="2"/>
  <c r="Q120" i="2" s="1"/>
  <c r="O120" i="2"/>
  <c r="M120" i="2"/>
  <c r="V119" i="2"/>
  <c r="U119" i="2"/>
  <c r="T119" i="2"/>
  <c r="S119" i="2"/>
  <c r="R119" i="2"/>
  <c r="P119" i="2"/>
  <c r="Q119" i="2" s="1"/>
  <c r="O119" i="2"/>
  <c r="M119" i="2"/>
  <c r="V118" i="2"/>
  <c r="U118" i="2"/>
  <c r="T118" i="2"/>
  <c r="S118" i="2"/>
  <c r="R118" i="2"/>
  <c r="P118" i="2"/>
  <c r="Q118" i="2" s="1"/>
  <c r="O118" i="2"/>
  <c r="M118" i="2"/>
  <c r="V117" i="2"/>
  <c r="U117" i="2"/>
  <c r="T117" i="2"/>
  <c r="S117" i="2"/>
  <c r="R117" i="2"/>
  <c r="P117" i="2"/>
  <c r="Q117" i="2" s="1"/>
  <c r="O117" i="2"/>
  <c r="M117" i="2"/>
  <c r="N117" i="2" s="1"/>
  <c r="V116" i="2"/>
  <c r="U116" i="2"/>
  <c r="T116" i="2"/>
  <c r="S116" i="2"/>
  <c r="R116" i="2"/>
  <c r="P116" i="2"/>
  <c r="Q116" i="2" s="1"/>
  <c r="O116" i="2"/>
  <c r="M116" i="2"/>
  <c r="V115" i="2"/>
  <c r="U115" i="2"/>
  <c r="T115" i="2"/>
  <c r="S115" i="2"/>
  <c r="R115" i="2"/>
  <c r="P115" i="2"/>
  <c r="Q115" i="2" s="1"/>
  <c r="O115" i="2"/>
  <c r="M115" i="2"/>
  <c r="V114" i="2"/>
  <c r="U114" i="2"/>
  <c r="T114" i="2"/>
  <c r="S114" i="2"/>
  <c r="R114" i="2"/>
  <c r="P114" i="2"/>
  <c r="Q114" i="2" s="1"/>
  <c r="O114" i="2"/>
  <c r="M114" i="2"/>
  <c r="V113" i="2"/>
  <c r="U113" i="2"/>
  <c r="T113" i="2"/>
  <c r="S113" i="2"/>
  <c r="R113" i="2"/>
  <c r="P113" i="2"/>
  <c r="Q113" i="2" s="1"/>
  <c r="O113" i="2"/>
  <c r="M113" i="2"/>
  <c r="V112" i="2"/>
  <c r="U112" i="2"/>
  <c r="T112" i="2"/>
  <c r="S112" i="2"/>
  <c r="R112" i="2"/>
  <c r="P112" i="2"/>
  <c r="Q112" i="2" s="1"/>
  <c r="O112" i="2"/>
  <c r="M112" i="2"/>
  <c r="V111" i="2"/>
  <c r="U111" i="2"/>
  <c r="T111" i="2"/>
  <c r="S111" i="2"/>
  <c r="R111" i="2"/>
  <c r="P111" i="2"/>
  <c r="Q111" i="2" s="1"/>
  <c r="O111" i="2"/>
  <c r="M111" i="2"/>
  <c r="V110" i="2"/>
  <c r="U110" i="2"/>
  <c r="T110" i="2"/>
  <c r="S110" i="2"/>
  <c r="R110" i="2"/>
  <c r="P110" i="2"/>
  <c r="Q110" i="2" s="1"/>
  <c r="O110" i="2"/>
  <c r="M110" i="2"/>
  <c r="V109" i="2"/>
  <c r="U109" i="2"/>
  <c r="T109" i="2"/>
  <c r="S109" i="2"/>
  <c r="R109" i="2"/>
  <c r="P109" i="2"/>
  <c r="Q109" i="2" s="1"/>
  <c r="O109" i="2"/>
  <c r="M109" i="2"/>
  <c r="V108" i="2"/>
  <c r="U108" i="2"/>
  <c r="T108" i="2"/>
  <c r="S108" i="2"/>
  <c r="R108" i="2"/>
  <c r="P108" i="2"/>
  <c r="Q108" i="2" s="1"/>
  <c r="O108" i="2"/>
  <c r="M108" i="2"/>
  <c r="V107" i="2"/>
  <c r="U107" i="2"/>
  <c r="T107" i="2"/>
  <c r="S107" i="2"/>
  <c r="R107" i="2"/>
  <c r="P107" i="2"/>
  <c r="Q107" i="2" s="1"/>
  <c r="O107" i="2"/>
  <c r="M107" i="2"/>
  <c r="V106" i="2"/>
  <c r="U106" i="2"/>
  <c r="T106" i="2"/>
  <c r="S106" i="2"/>
  <c r="R106" i="2"/>
  <c r="P106" i="2"/>
  <c r="Q106" i="2" s="1"/>
  <c r="O106" i="2"/>
  <c r="M106" i="2"/>
  <c r="V105" i="2"/>
  <c r="U105" i="2"/>
  <c r="T105" i="2"/>
  <c r="S105" i="2"/>
  <c r="R105" i="2"/>
  <c r="P105" i="2"/>
  <c r="Q105" i="2" s="1"/>
  <c r="O105" i="2"/>
  <c r="M105" i="2"/>
  <c r="V104" i="2"/>
  <c r="U104" i="2"/>
  <c r="T104" i="2"/>
  <c r="S104" i="2"/>
  <c r="R104" i="2"/>
  <c r="P104" i="2"/>
  <c r="Q104" i="2" s="1"/>
  <c r="O104" i="2"/>
  <c r="M104" i="2"/>
  <c r="V103" i="2"/>
  <c r="U103" i="2"/>
  <c r="T103" i="2"/>
  <c r="S103" i="2"/>
  <c r="R103" i="2"/>
  <c r="P103" i="2"/>
  <c r="Q103" i="2" s="1"/>
  <c r="O103" i="2"/>
  <c r="M103" i="2"/>
  <c r="V102" i="2"/>
  <c r="U102" i="2"/>
  <c r="T102" i="2"/>
  <c r="S102" i="2"/>
  <c r="R102" i="2"/>
  <c r="P102" i="2"/>
  <c r="Q102" i="2" s="1"/>
  <c r="O102" i="2"/>
  <c r="M102" i="2"/>
  <c r="V101" i="2"/>
  <c r="U101" i="2"/>
  <c r="T101" i="2"/>
  <c r="S101" i="2"/>
  <c r="R101" i="2"/>
  <c r="P101" i="2"/>
  <c r="Q101" i="2" s="1"/>
  <c r="O101" i="2"/>
  <c r="M101" i="2"/>
  <c r="V100" i="2"/>
  <c r="U100" i="2"/>
  <c r="T100" i="2"/>
  <c r="S100" i="2"/>
  <c r="R100" i="2"/>
  <c r="P100" i="2"/>
  <c r="Q100" i="2" s="1"/>
  <c r="O100" i="2"/>
  <c r="M100" i="2"/>
  <c r="V99" i="2"/>
  <c r="U99" i="2"/>
  <c r="T99" i="2"/>
  <c r="S99" i="2"/>
  <c r="R99" i="2"/>
  <c r="P99" i="2"/>
  <c r="Q99" i="2" s="1"/>
  <c r="O99" i="2"/>
  <c r="M99" i="2"/>
  <c r="V98" i="2"/>
  <c r="U98" i="2"/>
  <c r="T98" i="2"/>
  <c r="S98" i="2"/>
  <c r="R98" i="2"/>
  <c r="P98" i="2"/>
  <c r="Q98" i="2" s="1"/>
  <c r="O98" i="2"/>
  <c r="M98" i="2"/>
  <c r="V97" i="2"/>
  <c r="U97" i="2"/>
  <c r="T97" i="2"/>
  <c r="S97" i="2"/>
  <c r="R97" i="2"/>
  <c r="P97" i="2"/>
  <c r="Q97" i="2" s="1"/>
  <c r="O97" i="2"/>
  <c r="M97" i="2"/>
  <c r="V96" i="2"/>
  <c r="U96" i="2"/>
  <c r="T96" i="2"/>
  <c r="S96" i="2"/>
  <c r="R96" i="2"/>
  <c r="P96" i="2"/>
  <c r="Q96" i="2" s="1"/>
  <c r="O96" i="2"/>
  <c r="M96" i="2"/>
  <c r="V95" i="2"/>
  <c r="U95" i="2"/>
  <c r="T95" i="2"/>
  <c r="S95" i="2"/>
  <c r="R95" i="2"/>
  <c r="P95" i="2"/>
  <c r="Q95" i="2" s="1"/>
  <c r="O95" i="2"/>
  <c r="M95" i="2"/>
  <c r="V94" i="2"/>
  <c r="U94" i="2"/>
  <c r="T94" i="2"/>
  <c r="S94" i="2"/>
  <c r="R94" i="2"/>
  <c r="P94" i="2"/>
  <c r="Q94" i="2" s="1"/>
  <c r="O94" i="2"/>
  <c r="M94" i="2"/>
  <c r="V93" i="2"/>
  <c r="U93" i="2"/>
  <c r="T93" i="2"/>
  <c r="S93" i="2"/>
  <c r="R93" i="2"/>
  <c r="P93" i="2"/>
  <c r="Q93" i="2" s="1"/>
  <c r="O93" i="2"/>
  <c r="M93" i="2"/>
  <c r="V92" i="2"/>
  <c r="U92" i="2"/>
  <c r="T92" i="2"/>
  <c r="S92" i="2"/>
  <c r="R92" i="2"/>
  <c r="P92" i="2"/>
  <c r="Q92" i="2" s="1"/>
  <c r="O92" i="2"/>
  <c r="M92" i="2"/>
  <c r="V91" i="2"/>
  <c r="U91" i="2"/>
  <c r="T91" i="2"/>
  <c r="S91" i="2"/>
  <c r="R91" i="2"/>
  <c r="P91" i="2"/>
  <c r="Q91" i="2" s="1"/>
  <c r="O91" i="2"/>
  <c r="M91" i="2"/>
  <c r="V90" i="2"/>
  <c r="U90" i="2"/>
  <c r="T90" i="2"/>
  <c r="S90" i="2"/>
  <c r="R90" i="2"/>
  <c r="P90" i="2"/>
  <c r="Q90" i="2" s="1"/>
  <c r="O90" i="2"/>
  <c r="M90" i="2"/>
  <c r="V89" i="2"/>
  <c r="U89" i="2"/>
  <c r="T89" i="2"/>
  <c r="S89" i="2"/>
  <c r="R89" i="2"/>
  <c r="P89" i="2"/>
  <c r="Q89" i="2" s="1"/>
  <c r="O89" i="2"/>
  <c r="M89" i="2"/>
  <c r="V88" i="2"/>
  <c r="U88" i="2"/>
  <c r="T88" i="2"/>
  <c r="S88" i="2"/>
  <c r="R88" i="2"/>
  <c r="P88" i="2"/>
  <c r="Q88" i="2" s="1"/>
  <c r="O88" i="2"/>
  <c r="M88" i="2"/>
  <c r="V87" i="2"/>
  <c r="U87" i="2"/>
  <c r="T87" i="2"/>
  <c r="S87" i="2"/>
  <c r="R87" i="2"/>
  <c r="P87" i="2"/>
  <c r="Q87" i="2" s="1"/>
  <c r="O87" i="2"/>
  <c r="M87" i="2"/>
  <c r="V86" i="2"/>
  <c r="U86" i="2"/>
  <c r="T86" i="2"/>
  <c r="S86" i="2"/>
  <c r="R86" i="2"/>
  <c r="P86" i="2"/>
  <c r="Q86" i="2" s="1"/>
  <c r="O86" i="2"/>
  <c r="M86" i="2"/>
  <c r="V85" i="2"/>
  <c r="U85" i="2"/>
  <c r="T85" i="2"/>
  <c r="S85" i="2"/>
  <c r="R85" i="2"/>
  <c r="P85" i="2"/>
  <c r="Q85" i="2" s="1"/>
  <c r="O85" i="2"/>
  <c r="M85" i="2"/>
  <c r="V84" i="2"/>
  <c r="U84" i="2"/>
  <c r="T84" i="2"/>
  <c r="S84" i="2"/>
  <c r="R84" i="2"/>
  <c r="P84" i="2"/>
  <c r="Q84" i="2" s="1"/>
  <c r="O84" i="2"/>
  <c r="M84" i="2"/>
  <c r="V83" i="2"/>
  <c r="U83" i="2"/>
  <c r="T83" i="2"/>
  <c r="S83" i="2"/>
  <c r="R83" i="2"/>
  <c r="P83" i="2"/>
  <c r="Q83" i="2" s="1"/>
  <c r="O83" i="2"/>
  <c r="M83" i="2"/>
  <c r="V82" i="2"/>
  <c r="U82" i="2"/>
  <c r="T82" i="2"/>
  <c r="S82" i="2"/>
  <c r="R82" i="2"/>
  <c r="P82" i="2"/>
  <c r="Q82" i="2" s="1"/>
  <c r="O82" i="2"/>
  <c r="M82" i="2"/>
  <c r="V81" i="2"/>
  <c r="U81" i="2"/>
  <c r="T81" i="2"/>
  <c r="S81" i="2"/>
  <c r="R81" i="2"/>
  <c r="P81" i="2"/>
  <c r="Q81" i="2" s="1"/>
  <c r="O81" i="2"/>
  <c r="M81" i="2"/>
  <c r="V80" i="2"/>
  <c r="U80" i="2"/>
  <c r="T80" i="2"/>
  <c r="S80" i="2"/>
  <c r="R80" i="2"/>
  <c r="P80" i="2"/>
  <c r="Q80" i="2" s="1"/>
  <c r="O80" i="2"/>
  <c r="M80" i="2"/>
  <c r="V79" i="2"/>
  <c r="U79" i="2"/>
  <c r="T79" i="2"/>
  <c r="S79" i="2"/>
  <c r="R79" i="2"/>
  <c r="P79" i="2"/>
  <c r="Q79" i="2" s="1"/>
  <c r="O79" i="2"/>
  <c r="M79" i="2"/>
  <c r="V78" i="2"/>
  <c r="U78" i="2"/>
  <c r="T78" i="2"/>
  <c r="S78" i="2"/>
  <c r="R78" i="2"/>
  <c r="P78" i="2"/>
  <c r="Q78" i="2" s="1"/>
  <c r="O78" i="2"/>
  <c r="M78" i="2"/>
  <c r="V77" i="2"/>
  <c r="U77" i="2"/>
  <c r="T77" i="2"/>
  <c r="S77" i="2"/>
  <c r="R77" i="2"/>
  <c r="P77" i="2"/>
  <c r="Q77" i="2" s="1"/>
  <c r="O77" i="2"/>
  <c r="M77" i="2"/>
  <c r="V76" i="2"/>
  <c r="U76" i="2"/>
  <c r="T76" i="2"/>
  <c r="S76" i="2"/>
  <c r="R76" i="2"/>
  <c r="P76" i="2"/>
  <c r="Q76" i="2" s="1"/>
  <c r="O76" i="2"/>
  <c r="M76" i="2"/>
  <c r="V75" i="2"/>
  <c r="U75" i="2"/>
  <c r="T75" i="2"/>
  <c r="S75" i="2"/>
  <c r="R75" i="2"/>
  <c r="P75" i="2"/>
  <c r="Q75" i="2" s="1"/>
  <c r="O75" i="2"/>
  <c r="M75" i="2"/>
  <c r="V74" i="2"/>
  <c r="U74" i="2"/>
  <c r="T74" i="2"/>
  <c r="S74" i="2"/>
  <c r="R74" i="2"/>
  <c r="P74" i="2"/>
  <c r="Q74" i="2" s="1"/>
  <c r="O74" i="2"/>
  <c r="M74" i="2"/>
  <c r="V73" i="2"/>
  <c r="U73" i="2"/>
  <c r="T73" i="2"/>
  <c r="S73" i="2"/>
  <c r="R73" i="2"/>
  <c r="P73" i="2"/>
  <c r="Q73" i="2" s="1"/>
  <c r="O73" i="2"/>
  <c r="M73" i="2"/>
  <c r="V72" i="2"/>
  <c r="U72" i="2"/>
  <c r="T72" i="2"/>
  <c r="S72" i="2"/>
  <c r="R72" i="2"/>
  <c r="P72" i="2"/>
  <c r="Q72" i="2" s="1"/>
  <c r="O72" i="2"/>
  <c r="M72" i="2"/>
  <c r="V71" i="2"/>
  <c r="U71" i="2"/>
  <c r="T71" i="2"/>
  <c r="S71" i="2"/>
  <c r="R71" i="2"/>
  <c r="P71" i="2"/>
  <c r="Q71" i="2" s="1"/>
  <c r="O71" i="2"/>
  <c r="M71" i="2"/>
  <c r="V70" i="2"/>
  <c r="U70" i="2"/>
  <c r="T70" i="2"/>
  <c r="S70" i="2"/>
  <c r="R70" i="2"/>
  <c r="P70" i="2"/>
  <c r="Q70" i="2" s="1"/>
  <c r="O70" i="2"/>
  <c r="M70" i="2"/>
  <c r="V69" i="2"/>
  <c r="U69" i="2"/>
  <c r="T69" i="2"/>
  <c r="S69" i="2"/>
  <c r="R69" i="2"/>
  <c r="P69" i="2"/>
  <c r="Q69" i="2" s="1"/>
  <c r="O69" i="2"/>
  <c r="M69" i="2"/>
  <c r="V68" i="2"/>
  <c r="U68" i="2"/>
  <c r="T68" i="2"/>
  <c r="S68" i="2"/>
  <c r="R68" i="2"/>
  <c r="P68" i="2"/>
  <c r="Q68" i="2" s="1"/>
  <c r="O68" i="2"/>
  <c r="M68" i="2"/>
  <c r="V67" i="2"/>
  <c r="U67" i="2"/>
  <c r="T67" i="2"/>
  <c r="S67" i="2"/>
  <c r="R67" i="2"/>
  <c r="P67" i="2"/>
  <c r="Q67" i="2" s="1"/>
  <c r="O67" i="2"/>
  <c r="M67" i="2"/>
  <c r="V66" i="2"/>
  <c r="U66" i="2"/>
  <c r="T66" i="2"/>
  <c r="S66" i="2"/>
  <c r="R66" i="2"/>
  <c r="P66" i="2"/>
  <c r="Q66" i="2" s="1"/>
  <c r="O66" i="2"/>
  <c r="M66" i="2"/>
  <c r="V65" i="2"/>
  <c r="U65" i="2"/>
  <c r="T65" i="2"/>
  <c r="S65" i="2"/>
  <c r="R65" i="2"/>
  <c r="P65" i="2"/>
  <c r="Q65" i="2" s="1"/>
  <c r="O65" i="2"/>
  <c r="M65" i="2"/>
  <c r="V64" i="2"/>
  <c r="U64" i="2"/>
  <c r="T64" i="2"/>
  <c r="S64" i="2"/>
  <c r="R64" i="2"/>
  <c r="P64" i="2"/>
  <c r="Q64" i="2" s="1"/>
  <c r="O64" i="2"/>
  <c r="N64" i="2"/>
  <c r="M64" i="2"/>
  <c r="D64" i="5" s="1"/>
  <c r="V63" i="2"/>
  <c r="U63" i="2"/>
  <c r="T63" i="2"/>
  <c r="S63" i="2"/>
  <c r="R63" i="2"/>
  <c r="P63" i="2"/>
  <c r="Q63" i="2" s="1"/>
  <c r="O63" i="2"/>
  <c r="M63" i="2"/>
  <c r="V62" i="2"/>
  <c r="U62" i="2"/>
  <c r="T62" i="2"/>
  <c r="S62" i="2"/>
  <c r="R62" i="2"/>
  <c r="P62" i="2"/>
  <c r="Q62" i="2" s="1"/>
  <c r="O62" i="2"/>
  <c r="M62" i="2"/>
  <c r="V61" i="2"/>
  <c r="U61" i="2"/>
  <c r="T61" i="2"/>
  <c r="S61" i="2"/>
  <c r="R61" i="2"/>
  <c r="P61" i="2"/>
  <c r="Q61" i="2" s="1"/>
  <c r="O61" i="2"/>
  <c r="N61" i="2"/>
  <c r="M61" i="2"/>
  <c r="D61" i="5" s="1"/>
  <c r="V60" i="2"/>
  <c r="U60" i="2"/>
  <c r="T60" i="2"/>
  <c r="S60" i="2"/>
  <c r="R60" i="2"/>
  <c r="P60" i="2"/>
  <c r="Q60" i="2" s="1"/>
  <c r="O60" i="2"/>
  <c r="M60" i="2"/>
  <c r="V59" i="2"/>
  <c r="U59" i="2"/>
  <c r="T59" i="2"/>
  <c r="S59" i="2"/>
  <c r="R59" i="2"/>
  <c r="P59" i="2"/>
  <c r="Q59" i="2" s="1"/>
  <c r="O59" i="2"/>
  <c r="M59" i="2"/>
  <c r="V58" i="2"/>
  <c r="U58" i="2"/>
  <c r="T58" i="2"/>
  <c r="S58" i="2"/>
  <c r="R58" i="2"/>
  <c r="P58" i="2"/>
  <c r="Q58" i="2" s="1"/>
  <c r="O58" i="2"/>
  <c r="M58" i="2"/>
  <c r="V57" i="2"/>
  <c r="U57" i="2"/>
  <c r="T57" i="2"/>
  <c r="S57" i="2"/>
  <c r="R57" i="2"/>
  <c r="P57" i="2"/>
  <c r="Q57" i="2" s="1"/>
  <c r="O57" i="2"/>
  <c r="M57" i="2"/>
  <c r="V56" i="2"/>
  <c r="U56" i="2"/>
  <c r="T56" i="2"/>
  <c r="S56" i="2"/>
  <c r="R56" i="2"/>
  <c r="P56" i="2"/>
  <c r="Q56" i="2" s="1"/>
  <c r="O56" i="2"/>
  <c r="M56" i="2"/>
  <c r="V55" i="2"/>
  <c r="U55" i="2"/>
  <c r="T55" i="2"/>
  <c r="S55" i="2"/>
  <c r="R55" i="2"/>
  <c r="P55" i="2"/>
  <c r="Q55" i="2" s="1"/>
  <c r="O55" i="2"/>
  <c r="M55" i="2"/>
  <c r="V54" i="2"/>
  <c r="U54" i="2"/>
  <c r="T54" i="2"/>
  <c r="S54" i="2"/>
  <c r="R54" i="2"/>
  <c r="P54" i="2"/>
  <c r="Q54" i="2" s="1"/>
  <c r="O54" i="2"/>
  <c r="M54" i="2"/>
  <c r="V53" i="2"/>
  <c r="U53" i="2"/>
  <c r="T53" i="2"/>
  <c r="S53" i="2"/>
  <c r="R53" i="2"/>
  <c r="P53" i="2"/>
  <c r="Q53" i="2" s="1"/>
  <c r="O53" i="2"/>
  <c r="M53" i="2"/>
  <c r="V52" i="2"/>
  <c r="U52" i="2"/>
  <c r="T52" i="2"/>
  <c r="S52" i="2"/>
  <c r="R52" i="2"/>
  <c r="P52" i="2"/>
  <c r="Q52" i="2" s="1"/>
  <c r="O52" i="2"/>
  <c r="M52" i="2"/>
  <c r="V51" i="2"/>
  <c r="U51" i="2"/>
  <c r="T51" i="2"/>
  <c r="S51" i="2"/>
  <c r="R51" i="2"/>
  <c r="P51" i="2"/>
  <c r="Q51" i="2" s="1"/>
  <c r="O51" i="2"/>
  <c r="M51" i="2"/>
  <c r="V50" i="2"/>
  <c r="U50" i="2"/>
  <c r="T50" i="2"/>
  <c r="S50" i="2"/>
  <c r="R50" i="2"/>
  <c r="P50" i="2"/>
  <c r="Q50" i="2" s="1"/>
  <c r="O50" i="2"/>
  <c r="M50" i="2"/>
  <c r="V49" i="2"/>
  <c r="U49" i="2"/>
  <c r="T49" i="2"/>
  <c r="S49" i="2"/>
  <c r="R49" i="2"/>
  <c r="P49" i="2"/>
  <c r="Q49" i="2" s="1"/>
  <c r="O49" i="2"/>
  <c r="M49" i="2"/>
  <c r="V48" i="2"/>
  <c r="U48" i="2"/>
  <c r="T48" i="2"/>
  <c r="S48" i="2"/>
  <c r="R48" i="2"/>
  <c r="P48" i="2"/>
  <c r="Q48" i="2" s="1"/>
  <c r="O48" i="2"/>
  <c r="M48" i="2"/>
  <c r="V47" i="2"/>
  <c r="U47" i="2"/>
  <c r="T47" i="2"/>
  <c r="S47" i="2"/>
  <c r="R47" i="2"/>
  <c r="P47" i="2"/>
  <c r="Q47" i="2" s="1"/>
  <c r="O47" i="2"/>
  <c r="M47" i="2"/>
  <c r="V46" i="2"/>
  <c r="U46" i="2"/>
  <c r="T46" i="2"/>
  <c r="S46" i="2"/>
  <c r="R46" i="2"/>
  <c r="P46" i="2"/>
  <c r="Q46" i="2" s="1"/>
  <c r="O46" i="2"/>
  <c r="M46" i="2"/>
  <c r="V45" i="2"/>
  <c r="U45" i="2"/>
  <c r="T45" i="2"/>
  <c r="S45" i="2"/>
  <c r="R45" i="2"/>
  <c r="P45" i="2"/>
  <c r="Q45" i="2" s="1"/>
  <c r="O45" i="2"/>
  <c r="M45" i="2"/>
  <c r="V44" i="2"/>
  <c r="U44" i="2"/>
  <c r="T44" i="2"/>
  <c r="S44" i="2"/>
  <c r="R44" i="2"/>
  <c r="P44" i="2"/>
  <c r="Q44" i="2" s="1"/>
  <c r="O44" i="2"/>
  <c r="M44" i="2"/>
  <c r="V43" i="2"/>
  <c r="U43" i="2"/>
  <c r="T43" i="2"/>
  <c r="S43" i="2"/>
  <c r="R43" i="2"/>
  <c r="P43" i="2"/>
  <c r="Q43" i="2" s="1"/>
  <c r="O43" i="2"/>
  <c r="M43" i="2"/>
  <c r="V42" i="2"/>
  <c r="U42" i="2"/>
  <c r="T42" i="2"/>
  <c r="S42" i="2"/>
  <c r="R42" i="2"/>
  <c r="P42" i="2"/>
  <c r="Q42" i="2" s="1"/>
  <c r="O42" i="2"/>
  <c r="M42" i="2"/>
  <c r="V41" i="2"/>
  <c r="U41" i="2"/>
  <c r="T41" i="2"/>
  <c r="S41" i="2"/>
  <c r="R41" i="2"/>
  <c r="P41" i="2"/>
  <c r="Q41" i="2" s="1"/>
  <c r="O41" i="2"/>
  <c r="M41" i="2"/>
  <c r="V40" i="2"/>
  <c r="U40" i="2"/>
  <c r="T40" i="2"/>
  <c r="S40" i="2"/>
  <c r="R40" i="2"/>
  <c r="P40" i="2"/>
  <c r="Q40" i="2" s="1"/>
  <c r="O40" i="2"/>
  <c r="M40" i="2"/>
  <c r="V39" i="2"/>
  <c r="U39" i="2"/>
  <c r="T39" i="2"/>
  <c r="S39" i="2"/>
  <c r="R39" i="2"/>
  <c r="P39" i="2"/>
  <c r="Q39" i="2" s="1"/>
  <c r="O39" i="2"/>
  <c r="M39" i="2"/>
  <c r="V38" i="2"/>
  <c r="U38" i="2"/>
  <c r="T38" i="2"/>
  <c r="S38" i="2"/>
  <c r="R38" i="2"/>
  <c r="P38" i="2"/>
  <c r="Q38" i="2" s="1"/>
  <c r="O38" i="2"/>
  <c r="M38" i="2"/>
  <c r="V37" i="2"/>
  <c r="U37" i="2"/>
  <c r="T37" i="2"/>
  <c r="S37" i="2"/>
  <c r="R37" i="2"/>
  <c r="P37" i="2"/>
  <c r="Q37" i="2" s="1"/>
  <c r="O37" i="2"/>
  <c r="M37" i="2"/>
  <c r="V36" i="2"/>
  <c r="U36" i="2"/>
  <c r="T36" i="2"/>
  <c r="S36" i="2"/>
  <c r="R36" i="2"/>
  <c r="P36" i="2"/>
  <c r="Q36" i="2" s="1"/>
  <c r="O36" i="2"/>
  <c r="M36" i="2"/>
  <c r="V35" i="2"/>
  <c r="U35" i="2"/>
  <c r="T35" i="2"/>
  <c r="S35" i="2"/>
  <c r="R35" i="2"/>
  <c r="P35" i="2"/>
  <c r="Q35" i="2" s="1"/>
  <c r="O35" i="2"/>
  <c r="M35" i="2"/>
  <c r="V34" i="2"/>
  <c r="U34" i="2"/>
  <c r="T34" i="2"/>
  <c r="S34" i="2"/>
  <c r="R34" i="2"/>
  <c r="P34" i="2"/>
  <c r="Q34" i="2" s="1"/>
  <c r="O34" i="2"/>
  <c r="M34" i="2"/>
  <c r="V33" i="2"/>
  <c r="U33" i="2"/>
  <c r="T33" i="2"/>
  <c r="S33" i="2"/>
  <c r="R33" i="2"/>
  <c r="P33" i="2"/>
  <c r="Q33" i="2" s="1"/>
  <c r="O33" i="2"/>
  <c r="N33" i="2"/>
  <c r="M33" i="2"/>
  <c r="D33" i="5" s="1"/>
  <c r="V32" i="2"/>
  <c r="U32" i="2"/>
  <c r="T32" i="2"/>
  <c r="S32" i="2"/>
  <c r="R32" i="2"/>
  <c r="P32" i="2"/>
  <c r="Q32" i="2" s="1"/>
  <c r="O32" i="2"/>
  <c r="M32" i="2"/>
  <c r="V31" i="2"/>
  <c r="U31" i="2"/>
  <c r="T31" i="2"/>
  <c r="S31" i="2"/>
  <c r="R31" i="2"/>
  <c r="P31" i="2"/>
  <c r="Q31" i="2" s="1"/>
  <c r="O31" i="2"/>
  <c r="M31" i="2"/>
  <c r="V30" i="2"/>
  <c r="U30" i="2"/>
  <c r="T30" i="2"/>
  <c r="S30" i="2"/>
  <c r="R30" i="2"/>
  <c r="P30" i="2"/>
  <c r="Q30" i="2" s="1"/>
  <c r="O30" i="2"/>
  <c r="M30" i="2"/>
  <c r="V29" i="2"/>
  <c r="U29" i="2"/>
  <c r="T29" i="2"/>
  <c r="S29" i="2"/>
  <c r="R29" i="2"/>
  <c r="P29" i="2"/>
  <c r="Q29" i="2" s="1"/>
  <c r="O29" i="2"/>
  <c r="M29" i="2"/>
  <c r="V28" i="2"/>
  <c r="U28" i="2"/>
  <c r="T28" i="2"/>
  <c r="S28" i="2"/>
  <c r="R28" i="2"/>
  <c r="P28" i="2"/>
  <c r="Q28" i="2" s="1"/>
  <c r="O28" i="2"/>
  <c r="M28" i="2"/>
  <c r="V27" i="2"/>
  <c r="U27" i="2"/>
  <c r="T27" i="2"/>
  <c r="S27" i="2"/>
  <c r="R27" i="2"/>
  <c r="P27" i="2"/>
  <c r="Q27" i="2" s="1"/>
  <c r="O27" i="2"/>
  <c r="M27" i="2"/>
  <c r="V26" i="2"/>
  <c r="U26" i="2"/>
  <c r="T26" i="2"/>
  <c r="S26" i="2"/>
  <c r="R26" i="2"/>
  <c r="P26" i="2"/>
  <c r="Q26" i="2" s="1"/>
  <c r="O26" i="2"/>
  <c r="M26" i="2"/>
  <c r="V25" i="2"/>
  <c r="U25" i="2"/>
  <c r="T25" i="2"/>
  <c r="S25" i="2"/>
  <c r="R25" i="2"/>
  <c r="P25" i="2"/>
  <c r="Q25" i="2" s="1"/>
  <c r="O25" i="2"/>
  <c r="M25" i="2"/>
  <c r="V24" i="2"/>
  <c r="U24" i="2"/>
  <c r="T24" i="2"/>
  <c r="S24" i="2"/>
  <c r="R24" i="2"/>
  <c r="P24" i="2"/>
  <c r="Q24" i="2" s="1"/>
  <c r="O24" i="2"/>
  <c r="M24" i="2"/>
  <c r="V23" i="2"/>
  <c r="U23" i="2"/>
  <c r="T23" i="2"/>
  <c r="S23" i="2"/>
  <c r="R23" i="2"/>
  <c r="P23" i="2"/>
  <c r="Q23" i="2" s="1"/>
  <c r="O23" i="2"/>
  <c r="M23" i="2"/>
  <c r="V22" i="2"/>
  <c r="U22" i="2"/>
  <c r="T22" i="2"/>
  <c r="S22" i="2"/>
  <c r="R22" i="2"/>
  <c r="P22" i="2"/>
  <c r="Q22" i="2" s="1"/>
  <c r="O22" i="2"/>
  <c r="M22" i="2"/>
  <c r="V21" i="2"/>
  <c r="U21" i="2"/>
  <c r="T21" i="2"/>
  <c r="S21" i="2"/>
  <c r="R21" i="2"/>
  <c r="P21" i="2"/>
  <c r="Q21" i="2" s="1"/>
  <c r="O21" i="2"/>
  <c r="M21" i="2"/>
  <c r="V20" i="2"/>
  <c r="U20" i="2"/>
  <c r="T20" i="2"/>
  <c r="S20" i="2"/>
  <c r="R20" i="2"/>
  <c r="P20" i="2"/>
  <c r="Q20" i="2" s="1"/>
  <c r="O20" i="2"/>
  <c r="M20" i="2"/>
  <c r="V19" i="2"/>
  <c r="U19" i="2"/>
  <c r="T19" i="2"/>
  <c r="S19" i="2"/>
  <c r="R19" i="2"/>
  <c r="P19" i="2"/>
  <c r="Q19" i="2" s="1"/>
  <c r="O19" i="2"/>
  <c r="M19" i="2"/>
  <c r="V18" i="2"/>
  <c r="U18" i="2"/>
  <c r="T18" i="2"/>
  <c r="S18" i="2"/>
  <c r="R18" i="2"/>
  <c r="P18" i="2"/>
  <c r="Q18" i="2" s="1"/>
  <c r="O18" i="2"/>
  <c r="M18" i="2"/>
  <c r="V17" i="2"/>
  <c r="U17" i="2"/>
  <c r="T17" i="2"/>
  <c r="S17" i="2"/>
  <c r="R17" i="2"/>
  <c r="P17" i="2"/>
  <c r="Q17" i="2" s="1"/>
  <c r="O17" i="2"/>
  <c r="M17" i="2"/>
  <c r="V16" i="2"/>
  <c r="U16" i="2"/>
  <c r="T16" i="2"/>
  <c r="S16" i="2"/>
  <c r="R16" i="2"/>
  <c r="P16" i="2"/>
  <c r="Q16" i="2" s="1"/>
  <c r="O16" i="2"/>
  <c r="M16" i="2"/>
  <c r="V15" i="2"/>
  <c r="U15" i="2"/>
  <c r="T15" i="2"/>
  <c r="S15" i="2"/>
  <c r="R15" i="2"/>
  <c r="P15" i="2"/>
  <c r="Q15" i="2" s="1"/>
  <c r="O15" i="2"/>
  <c r="M15" i="2"/>
  <c r="V14" i="2"/>
  <c r="U14" i="2"/>
  <c r="T14" i="2"/>
  <c r="S14" i="2"/>
  <c r="R14" i="2"/>
  <c r="P14" i="2"/>
  <c r="Q14" i="2" s="1"/>
  <c r="O14" i="2"/>
  <c r="M14" i="2"/>
  <c r="V13" i="2"/>
  <c r="U13" i="2"/>
  <c r="T13" i="2"/>
  <c r="S13" i="2"/>
  <c r="R13" i="2"/>
  <c r="P13" i="2"/>
  <c r="Q13" i="2" s="1"/>
  <c r="O13" i="2"/>
  <c r="M13" i="2"/>
  <c r="V12" i="2"/>
  <c r="U12" i="2"/>
  <c r="T12" i="2"/>
  <c r="S12" i="2"/>
  <c r="R12" i="2"/>
  <c r="P12" i="2"/>
  <c r="Q12" i="2" s="1"/>
  <c r="O12" i="2"/>
  <c r="M12" i="2"/>
  <c r="V11" i="2"/>
  <c r="U11" i="2"/>
  <c r="T11" i="2"/>
  <c r="S11" i="2"/>
  <c r="R11" i="2"/>
  <c r="P11" i="2"/>
  <c r="Q11" i="2" s="1"/>
  <c r="O11" i="2"/>
  <c r="M11" i="2"/>
  <c r="V10" i="2"/>
  <c r="U10" i="2"/>
  <c r="T10" i="2"/>
  <c r="S10" i="2"/>
  <c r="R10" i="2"/>
  <c r="P10" i="2"/>
  <c r="Q10" i="2" s="1"/>
  <c r="O10" i="2"/>
  <c r="M10" i="2"/>
  <c r="V9" i="2"/>
  <c r="U9" i="2"/>
  <c r="T9" i="2"/>
  <c r="S9" i="2"/>
  <c r="R9" i="2"/>
  <c r="P9" i="2"/>
  <c r="Q9" i="2" s="1"/>
  <c r="O9" i="2"/>
  <c r="M9" i="2"/>
  <c r="V8" i="2"/>
  <c r="U8" i="2"/>
  <c r="T8" i="2"/>
  <c r="S8" i="2"/>
  <c r="R8" i="2"/>
  <c r="P8" i="2"/>
  <c r="Q8" i="2" s="1"/>
  <c r="O8" i="2"/>
  <c r="M8" i="2"/>
  <c r="V7" i="2"/>
  <c r="U7" i="2"/>
  <c r="T7" i="2"/>
  <c r="S7" i="2"/>
  <c r="R7" i="2"/>
  <c r="P7" i="2"/>
  <c r="Q7" i="2" s="1"/>
  <c r="O7" i="2"/>
  <c r="M7" i="2"/>
  <c r="V6" i="2"/>
  <c r="U6" i="2"/>
  <c r="T6" i="2"/>
  <c r="S6" i="2"/>
  <c r="R6" i="2"/>
  <c r="P6" i="2"/>
  <c r="Q6" i="2" s="1"/>
  <c r="O6" i="2"/>
  <c r="M6" i="2"/>
  <c r="V5" i="2"/>
  <c r="U5" i="2"/>
  <c r="T5" i="2"/>
  <c r="S5" i="2"/>
  <c r="R5" i="2"/>
  <c r="P5" i="2"/>
  <c r="Q5" i="2" s="1"/>
  <c r="O5" i="2"/>
  <c r="M5" i="2"/>
  <c r="V4" i="2"/>
  <c r="U4" i="2"/>
  <c r="T4" i="2"/>
  <c r="S4" i="2"/>
  <c r="R4" i="2"/>
  <c r="P4" i="2"/>
  <c r="Q4" i="2" s="1"/>
  <c r="O4" i="2"/>
  <c r="M4" i="2"/>
  <c r="V3" i="2"/>
  <c r="U3" i="2"/>
  <c r="T3" i="2"/>
  <c r="S3" i="2"/>
  <c r="R3" i="2"/>
  <c r="P3" i="2"/>
  <c r="Q3" i="2" s="1"/>
  <c r="O3" i="2"/>
  <c r="M3" i="2"/>
  <c r="V2" i="2"/>
  <c r="U2" i="2"/>
  <c r="T2" i="2"/>
  <c r="S2" i="2"/>
  <c r="R2" i="2"/>
  <c r="P2" i="2"/>
  <c r="Q2" i="2" s="1"/>
  <c r="O2" i="2"/>
  <c r="M2" i="2"/>
  <c r="D421" i="5" l="1"/>
  <c r="N421" i="2"/>
  <c r="D420" i="5"/>
  <c r="N420" i="2"/>
  <c r="D419" i="5"/>
  <c r="N419" i="2"/>
  <c r="D418" i="5"/>
  <c r="N418" i="2"/>
  <c r="D417" i="5"/>
  <c r="N417" i="2"/>
  <c r="N416" i="2"/>
  <c r="D416" i="5"/>
  <c r="D415" i="5"/>
  <c r="N415" i="2"/>
  <c r="D414" i="5"/>
  <c r="N414" i="2"/>
  <c r="D413" i="5"/>
  <c r="N413" i="2"/>
  <c r="D412" i="5"/>
  <c r="N412" i="2"/>
  <c r="D411" i="5"/>
  <c r="N411" i="2"/>
  <c r="D410" i="5"/>
  <c r="N410" i="2"/>
  <c r="D409" i="5"/>
  <c r="N409" i="2"/>
  <c r="N408" i="2"/>
  <c r="D408" i="5"/>
  <c r="D407" i="5"/>
  <c r="N407" i="2"/>
  <c r="D394" i="5"/>
  <c r="N394" i="2"/>
  <c r="N393" i="2"/>
  <c r="D393" i="5"/>
  <c r="N392" i="2"/>
  <c r="D392" i="5"/>
  <c r="N391" i="2"/>
  <c r="D391" i="5"/>
  <c r="D390" i="5"/>
  <c r="N390" i="2"/>
  <c r="D389" i="5"/>
  <c r="N389" i="2"/>
  <c r="N388" i="2"/>
  <c r="D388" i="5"/>
  <c r="N387" i="2"/>
  <c r="D387" i="5"/>
  <c r="N386" i="2"/>
  <c r="D386" i="5"/>
  <c r="N385" i="2"/>
  <c r="D385" i="5"/>
  <c r="N384" i="2"/>
  <c r="D384" i="5"/>
  <c r="N383" i="2"/>
  <c r="D383" i="5"/>
  <c r="N382" i="2"/>
  <c r="D382" i="5"/>
  <c r="N381" i="2"/>
  <c r="D381" i="5"/>
  <c r="N380" i="2"/>
  <c r="D380" i="5"/>
  <c r="D379" i="5"/>
  <c r="N379" i="2"/>
  <c r="D378" i="5"/>
  <c r="N378" i="2"/>
  <c r="D365" i="5"/>
  <c r="N365" i="2"/>
  <c r="D364" i="5"/>
  <c r="N364" i="2"/>
  <c r="N363" i="2"/>
  <c r="D363" i="5"/>
  <c r="D362" i="5"/>
  <c r="N362" i="2"/>
  <c r="N361" i="2"/>
  <c r="D361" i="5"/>
  <c r="N360" i="2"/>
  <c r="D360" i="5"/>
  <c r="D359" i="5"/>
  <c r="N359" i="2"/>
  <c r="D358" i="5"/>
  <c r="N358" i="2"/>
  <c r="N357" i="2"/>
  <c r="D357" i="5"/>
  <c r="D356" i="5"/>
  <c r="N356" i="2"/>
  <c r="D355" i="5"/>
  <c r="N355" i="2"/>
  <c r="N354" i="2"/>
  <c r="D354" i="5"/>
  <c r="N353" i="2"/>
  <c r="D353" i="5"/>
  <c r="D352" i="5"/>
  <c r="N352" i="2"/>
  <c r="D351" i="5"/>
  <c r="N351" i="2"/>
  <c r="N350" i="2"/>
  <c r="D350" i="5"/>
  <c r="D349" i="5"/>
  <c r="N349" i="2"/>
  <c r="D328" i="5"/>
  <c r="N328" i="2"/>
  <c r="N327" i="2"/>
  <c r="D327" i="5"/>
  <c r="N326" i="2"/>
  <c r="D326" i="5"/>
  <c r="N325" i="2"/>
  <c r="D325" i="5"/>
  <c r="N324" i="2"/>
  <c r="D324" i="5"/>
  <c r="N323" i="2"/>
  <c r="D323" i="5"/>
  <c r="D322" i="5"/>
  <c r="N322" i="2"/>
  <c r="N321" i="2"/>
  <c r="D321" i="5"/>
  <c r="D320" i="5"/>
  <c r="N320" i="2"/>
  <c r="D295" i="5"/>
  <c r="N295" i="2"/>
  <c r="N294" i="2"/>
  <c r="D294" i="5"/>
  <c r="D293" i="5"/>
  <c r="N293" i="2"/>
  <c r="D292" i="5"/>
  <c r="N292" i="2"/>
  <c r="D291" i="5"/>
  <c r="N291" i="2"/>
  <c r="D262" i="5"/>
  <c r="N262" i="2"/>
  <c r="D133" i="5"/>
  <c r="N133" i="2"/>
  <c r="D132" i="5"/>
  <c r="N132" i="2"/>
  <c r="D131" i="5"/>
  <c r="N131" i="2"/>
  <c r="N130" i="2"/>
  <c r="D130" i="5"/>
  <c r="N129" i="2"/>
  <c r="D129" i="5"/>
  <c r="N128" i="2"/>
  <c r="D128" i="5"/>
  <c r="N127" i="2"/>
  <c r="D127" i="5"/>
  <c r="N126" i="2"/>
  <c r="D126" i="5"/>
  <c r="N125" i="2"/>
  <c r="D125" i="5"/>
  <c r="D124" i="5"/>
  <c r="N124" i="2"/>
  <c r="N123" i="2"/>
  <c r="D123" i="5"/>
  <c r="D122" i="5"/>
  <c r="N122" i="2"/>
  <c r="N121" i="2"/>
  <c r="D121" i="5"/>
  <c r="D120" i="5"/>
  <c r="N120" i="2"/>
  <c r="N119" i="2"/>
  <c r="D119" i="5"/>
  <c r="D118" i="5"/>
  <c r="N118" i="2"/>
  <c r="N116" i="2"/>
  <c r="D116" i="5"/>
  <c r="N115" i="2"/>
  <c r="D115" i="5"/>
  <c r="N114" i="2"/>
  <c r="D114" i="5"/>
  <c r="D113" i="5"/>
  <c r="N113" i="2"/>
  <c r="D112" i="5"/>
  <c r="N112" i="2"/>
  <c r="D111" i="5"/>
  <c r="N111" i="2"/>
  <c r="D110" i="5"/>
  <c r="N110" i="2"/>
  <c r="D109" i="5"/>
  <c r="N109" i="2"/>
  <c r="D108" i="5"/>
  <c r="N108" i="2"/>
  <c r="D107" i="5"/>
  <c r="N107" i="2"/>
  <c r="D106" i="5"/>
  <c r="N106" i="2"/>
  <c r="D105" i="5"/>
  <c r="N105" i="2"/>
  <c r="D104" i="5"/>
  <c r="N104" i="2"/>
  <c r="D103" i="5"/>
  <c r="N103" i="2"/>
  <c r="D102" i="5"/>
  <c r="N102" i="2"/>
  <c r="D101" i="5"/>
  <c r="N101" i="2"/>
  <c r="D100" i="5"/>
  <c r="N100" i="2"/>
  <c r="N99" i="2"/>
  <c r="D99" i="5"/>
  <c r="N98" i="2"/>
  <c r="D98" i="5"/>
  <c r="N97" i="2"/>
  <c r="D97" i="5"/>
  <c r="D96" i="5"/>
  <c r="N96" i="2"/>
  <c r="N95" i="2"/>
  <c r="D95" i="5"/>
  <c r="N94" i="2"/>
  <c r="D94" i="5"/>
  <c r="N93" i="2"/>
  <c r="D93" i="5"/>
  <c r="N92" i="2"/>
  <c r="D92" i="5"/>
  <c r="D91" i="5"/>
  <c r="N91" i="2"/>
  <c r="D90" i="5"/>
  <c r="N90" i="2"/>
  <c r="D89" i="5"/>
  <c r="N89" i="2"/>
  <c r="D88" i="5"/>
  <c r="N88" i="2"/>
  <c r="N87" i="2"/>
  <c r="D87" i="5"/>
  <c r="D86" i="5"/>
  <c r="N86" i="2"/>
  <c r="D85" i="5"/>
  <c r="N85" i="2"/>
  <c r="D84" i="5"/>
  <c r="N84" i="2"/>
  <c r="N83" i="2"/>
  <c r="D83" i="5"/>
  <c r="N82" i="2"/>
  <c r="D82" i="5"/>
  <c r="N81" i="2"/>
  <c r="D81" i="5"/>
  <c r="N80" i="2"/>
  <c r="D80" i="5"/>
  <c r="N79" i="2"/>
  <c r="D79" i="5"/>
  <c r="N78" i="2"/>
  <c r="D78" i="5"/>
  <c r="D77" i="5"/>
  <c r="N77" i="2"/>
  <c r="D76" i="5"/>
  <c r="N76" i="2"/>
  <c r="D75" i="5"/>
  <c r="N75" i="2"/>
  <c r="D74" i="5"/>
  <c r="N74" i="2"/>
  <c r="D73" i="5"/>
  <c r="N73" i="2"/>
  <c r="N72" i="2"/>
  <c r="D72" i="5"/>
  <c r="N71" i="2"/>
  <c r="D71" i="5"/>
  <c r="N70" i="2"/>
  <c r="D70" i="5"/>
  <c r="N69" i="2"/>
  <c r="D69" i="5"/>
  <c r="D68" i="5"/>
  <c r="N68" i="2"/>
  <c r="N67" i="2"/>
  <c r="D67" i="5"/>
  <c r="N66" i="2"/>
  <c r="D66" i="5"/>
  <c r="D65" i="5"/>
  <c r="N65" i="2"/>
  <c r="N63" i="2"/>
  <c r="D63" i="5"/>
  <c r="N62" i="2"/>
  <c r="D62" i="5"/>
  <c r="N60" i="2"/>
  <c r="D60" i="5"/>
  <c r="D59" i="5"/>
  <c r="N59" i="2"/>
  <c r="N58" i="2"/>
  <c r="D58" i="5"/>
  <c r="N57" i="2"/>
  <c r="D57" i="5"/>
  <c r="N56" i="2"/>
  <c r="D56" i="5"/>
  <c r="N55" i="2"/>
  <c r="D55" i="5"/>
  <c r="D54" i="5"/>
  <c r="N54" i="2"/>
  <c r="N53" i="2"/>
  <c r="D53" i="5"/>
  <c r="N52" i="2"/>
  <c r="D52" i="5"/>
  <c r="N51" i="2"/>
  <c r="D51" i="5"/>
  <c r="D50" i="5"/>
  <c r="N50" i="2"/>
  <c r="N49" i="2"/>
  <c r="D49" i="5"/>
  <c r="D48" i="5"/>
  <c r="N48" i="2"/>
  <c r="D47" i="5"/>
  <c r="N47" i="2"/>
  <c r="N46" i="2"/>
  <c r="D46" i="5"/>
  <c r="D45" i="5"/>
  <c r="N45" i="2"/>
  <c r="N44" i="2"/>
  <c r="D44" i="5"/>
  <c r="N43" i="2"/>
  <c r="D43" i="5"/>
  <c r="N42" i="2"/>
  <c r="D42" i="5"/>
  <c r="N41" i="2"/>
  <c r="D41" i="5"/>
  <c r="N40" i="2"/>
  <c r="D40" i="5"/>
  <c r="N39" i="2"/>
  <c r="D39" i="5"/>
  <c r="D38" i="5"/>
  <c r="N38" i="2"/>
  <c r="D37" i="5"/>
  <c r="N37" i="2"/>
  <c r="D36" i="5"/>
  <c r="N36" i="2"/>
  <c r="D35" i="5"/>
  <c r="N35" i="2"/>
  <c r="D34" i="5"/>
  <c r="N34" i="2"/>
  <c r="N32" i="2"/>
  <c r="D32" i="5"/>
  <c r="D31" i="5"/>
  <c r="N31" i="2"/>
  <c r="N30" i="2"/>
  <c r="D30" i="5"/>
  <c r="N29" i="2"/>
  <c r="D29" i="5"/>
  <c r="N28" i="2"/>
  <c r="D28" i="5"/>
  <c r="N27" i="2"/>
  <c r="D27" i="5"/>
  <c r="N26" i="2"/>
  <c r="D26" i="5"/>
  <c r="N25" i="2"/>
  <c r="D25" i="5"/>
  <c r="N24" i="2"/>
  <c r="D24" i="5"/>
  <c r="N23" i="2"/>
  <c r="D23" i="5"/>
  <c r="N22" i="2"/>
  <c r="D22" i="5"/>
  <c r="N21" i="2"/>
  <c r="D21" i="5"/>
  <c r="D20" i="5"/>
  <c r="N20" i="2"/>
  <c r="N19" i="2"/>
  <c r="D19" i="5"/>
  <c r="D18" i="5"/>
  <c r="N18" i="2"/>
  <c r="D17" i="5"/>
  <c r="N17" i="2"/>
  <c r="D16" i="5"/>
  <c r="N16" i="2"/>
  <c r="N15" i="2"/>
  <c r="D15" i="5"/>
  <c r="D14" i="5"/>
  <c r="N14" i="2"/>
  <c r="D13" i="5"/>
  <c r="N13" i="2"/>
  <c r="N12" i="2"/>
  <c r="D12" i="5"/>
  <c r="N11" i="2"/>
  <c r="D11" i="5"/>
  <c r="N10" i="2"/>
  <c r="D10" i="5"/>
  <c r="D9" i="5"/>
  <c r="N9" i="2"/>
  <c r="N8" i="2"/>
  <c r="D8" i="5"/>
  <c r="N7" i="2"/>
  <c r="D7" i="5"/>
  <c r="N6" i="2"/>
  <c r="D6" i="5"/>
  <c r="N5" i="2"/>
  <c r="D5" i="5"/>
  <c r="N4" i="2"/>
  <c r="D4" i="5"/>
  <c r="N3" i="2"/>
  <c r="D3" i="5"/>
  <c r="N2" i="2"/>
  <c r="D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5EE81E-C805-4F3C-9294-493CFE1A06D1}" keepAlive="1" name="Consulta - mlb_payrolls" description="Ligação à consulta 'mlb_payrolls' no livro." type="5" refreshedVersion="8" background="1" saveData="1">
    <dbPr connection="Provider=Microsoft.Mashup.OleDb.1;Data Source=$Workbook$;Location=mlb_payrolls;Extended Properties=&quot;&quot;" command="SELECT * FROM [mlb_payrolls]"/>
  </connection>
</connections>
</file>

<file path=xl/sharedStrings.xml><?xml version="1.0" encoding="utf-8"?>
<sst xmlns="http://schemas.openxmlformats.org/spreadsheetml/2006/main" count="1753" uniqueCount="94">
  <si>
    <t>Team</t>
  </si>
  <si>
    <t>Team Name</t>
  </si>
  <si>
    <t>Year</t>
  </si>
  <si>
    <t>Average Age</t>
  </si>
  <si>
    <t>Total Payroll Allocations</t>
  </si>
  <si>
    <t>Active 26-Man</t>
  </si>
  <si>
    <t>Injured</t>
  </si>
  <si>
    <t>Retained</t>
  </si>
  <si>
    <t>Buried</t>
  </si>
  <si>
    <t>Wins</t>
  </si>
  <si>
    <t>Losses</t>
  </si>
  <si>
    <t>Postseason</t>
  </si>
  <si>
    <t>OAK</t>
  </si>
  <si>
    <t>Oakland Athletics</t>
  </si>
  <si>
    <t>No Playoffs</t>
  </si>
  <si>
    <t>PIT</t>
  </si>
  <si>
    <t>Pittsburgh Pirates</t>
  </si>
  <si>
    <t>TB</t>
  </si>
  <si>
    <t>Tampa Bay Rays</t>
  </si>
  <si>
    <t>DET</t>
  </si>
  <si>
    <t>Detroit Tigers</t>
  </si>
  <si>
    <t>Wildcard</t>
  </si>
  <si>
    <t>CLE</t>
  </si>
  <si>
    <t>Cleveland Guardians</t>
  </si>
  <si>
    <t>Division Winner</t>
  </si>
  <si>
    <t>BAL</t>
  </si>
  <si>
    <t>Baltimore Orioles</t>
  </si>
  <si>
    <t>MIL</t>
  </si>
  <si>
    <t>Milwaukee Brewers</t>
  </si>
  <si>
    <t>CIN</t>
  </si>
  <si>
    <t>Cincinnati Reds</t>
  </si>
  <si>
    <t>KC</t>
  </si>
  <si>
    <t>Kansas City Royals</t>
  </si>
  <si>
    <t>WSH</t>
  </si>
  <si>
    <t>Washington Nationals</t>
  </si>
  <si>
    <t>MIA</t>
  </si>
  <si>
    <t>Miami Marlins</t>
  </si>
  <si>
    <t>MIN</t>
  </si>
  <si>
    <t>Minnesota Twins</t>
  </si>
  <si>
    <t>SEA</t>
  </si>
  <si>
    <t>Seattle Mariners</t>
  </si>
  <si>
    <t>SD</t>
  </si>
  <si>
    <t>San Diego Padres</t>
  </si>
  <si>
    <t>ARI</t>
  </si>
  <si>
    <t>Arizona Diamondbacks</t>
  </si>
  <si>
    <t>STL</t>
  </si>
  <si>
    <t>St. Louis Cardinals</t>
  </si>
  <si>
    <t>BOS</t>
  </si>
  <si>
    <t>Boston Red Sox</t>
  </si>
  <si>
    <t>COL</t>
  </si>
  <si>
    <t>Colorado Rockies</t>
  </si>
  <si>
    <t>LAD</t>
  </si>
  <si>
    <t>Los Angeles Dodgers</t>
  </si>
  <si>
    <t>SF</t>
  </si>
  <si>
    <t>San Francisco Giants</t>
  </si>
  <si>
    <t>PHI</t>
  </si>
  <si>
    <t>Philadelphia Phillies</t>
  </si>
  <si>
    <t>ATL</t>
  </si>
  <si>
    <t>Atlanta Braves</t>
  </si>
  <si>
    <t>LAA</t>
  </si>
  <si>
    <t>Los Angeles Angels</t>
  </si>
  <si>
    <t>CHC</t>
  </si>
  <si>
    <t>Chicago Cubs</t>
  </si>
  <si>
    <t>TEX</t>
  </si>
  <si>
    <t>Texas Rangers</t>
  </si>
  <si>
    <t>HOU</t>
  </si>
  <si>
    <t>Houston Astros</t>
  </si>
  <si>
    <t>TOR</t>
  </si>
  <si>
    <t>Toronto Blue Jays</t>
  </si>
  <si>
    <t>CHW</t>
  </si>
  <si>
    <t>Chicago White Sox</t>
  </si>
  <si>
    <t>NYY</t>
  </si>
  <si>
    <t>New York Yankees</t>
  </si>
  <si>
    <t>NYM</t>
  </si>
  <si>
    <t>New York Mets</t>
  </si>
  <si>
    <t>Games</t>
  </si>
  <si>
    <t>Win %</t>
  </si>
  <si>
    <t>Cost per Win</t>
  </si>
  <si>
    <t>Payroll Parts Sum</t>
  </si>
  <si>
    <t>Payroll Diff</t>
  </si>
  <si>
    <t>% Active</t>
  </si>
  <si>
    <t>% Injured</t>
  </si>
  <si>
    <t>% Retained</t>
  </si>
  <si>
    <t>% Buried</t>
  </si>
  <si>
    <t>Playoff Flag</t>
  </si>
  <si>
    <t>Rótulos de Linha</t>
  </si>
  <si>
    <t>Total Geral</t>
  </si>
  <si>
    <t>(Tudo)</t>
  </si>
  <si>
    <t>Média de Total Payroll Allocations</t>
  </si>
  <si>
    <t>Média de Cost per Win</t>
  </si>
  <si>
    <t>Average % Injured</t>
  </si>
  <si>
    <t>Average % Retained</t>
  </si>
  <si>
    <t>Average de % Buried</t>
  </si>
  <si>
    <t>Average de %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</si>
</sst>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9" fontId="0" fillId="0" borderId="0" xfId="1" applyFont="1"/>
    <xf numFmtId="9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</cellXfs>
  <cellStyles count="2">
    <cellStyle name="Normal" xfId="0" builtinId="0"/>
    <cellStyle name="Percentagem" xfId="1" builtinId="5"/>
  </cellStyles>
  <dxfs count="19">
    <dxf>
      <numFmt numFmtId="164" formatCode="_-[$$-409]* #,##0.00_ ;_-[$$-409]* \-#,##0.00\ ;_-[$$-409]* &quot;-&quot;??_ ;_-@_ "/>
    </dxf>
    <dxf>
      <numFmt numFmtId="0" formatCode="General"/>
    </dxf>
    <dxf>
      <numFmt numFmtId="13" formatCode="0%"/>
    </dxf>
    <dxf>
      <numFmt numFmtId="13" formatCode="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[MLB_Payrolls_Data preparation.xlsx]Pivots!Tabela Dinâmica1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42103264223754"/>
          <c:y val="0.26791447944006996"/>
          <c:w val="0.81219353394779137"/>
          <c:h val="0.537743875765529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Pivots!$A$4:$A$18</c:f>
              <c:strCach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strCache>
            </c:strRef>
          </c:cat>
          <c:val>
            <c:numRef>
              <c:f>Pivots!$B$4:$B$18</c:f>
              <c:numCache>
                <c:formatCode>_-[$$-409]* #\ ##0.00_ ;_-[$$-409]* \-#\ ##0.00\ ;_-[$$-409]* "-"??_ ;_-@_ </c:formatCode>
                <c:ptCount val="14"/>
                <c:pt idx="0">
                  <c:v>100977539.73333333</c:v>
                </c:pt>
                <c:pt idx="1">
                  <c:v>107020218.46666667</c:v>
                </c:pt>
                <c:pt idx="2">
                  <c:v>110210709.26666667</c:v>
                </c:pt>
                <c:pt idx="3">
                  <c:v>119153963.23333333</c:v>
                </c:pt>
                <c:pt idx="4">
                  <c:v>127587928.03333333</c:v>
                </c:pt>
                <c:pt idx="5">
                  <c:v>133151989.66666667</c:v>
                </c:pt>
                <c:pt idx="6">
                  <c:v>139775063</c:v>
                </c:pt>
                <c:pt idx="7">
                  <c:v>138377587.56666666</c:v>
                </c:pt>
                <c:pt idx="8">
                  <c:v>137687933.5</c:v>
                </c:pt>
                <c:pt idx="9">
                  <c:v>61206653</c:v>
                </c:pt>
                <c:pt idx="10">
                  <c:v>131080269.7</c:v>
                </c:pt>
                <c:pt idx="11">
                  <c:v>149792155.23333332</c:v>
                </c:pt>
                <c:pt idx="12">
                  <c:v>164410077.43333334</c:v>
                </c:pt>
                <c:pt idx="13">
                  <c:v>166599229.63333333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7-4B67-B3CC-1E62C5B09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5712399"/>
        <c:axId val="1300381167"/>
      </c:barChart>
      <c:catAx>
        <c:axId val="39571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00381167"/>
        <c:crosses val="autoZero"/>
        <c:auto val="1"/>
        <c:lblAlgn val="ctr"/>
        <c:lblOffset val="100"/>
        <c:noMultiLvlLbl val="0"/>
      </c:catAx>
      <c:valAx>
        <c:axId val="1300381167"/>
        <c:scaling>
          <c:orientation val="minMax"/>
        </c:scaling>
        <c:delete val="0"/>
        <c:axPos val="l"/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9571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[MLB_Payrolls_Data preparation.xlsx]Pivots!Tabela Dinâmica14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Pivots!$A$23:$A$53</c:f>
              <c:strCache>
                <c:ptCount val="30"/>
                <c:pt idx="0">
                  <c:v>New York Yankees</c:v>
                </c:pt>
                <c:pt idx="1">
                  <c:v>Los Angeles Dodgers</c:v>
                </c:pt>
                <c:pt idx="2">
                  <c:v>Boston Red Sox</c:v>
                </c:pt>
                <c:pt idx="3">
                  <c:v>New York Mets</c:v>
                </c:pt>
                <c:pt idx="4">
                  <c:v>Los Angeles Angels</c:v>
                </c:pt>
                <c:pt idx="5">
                  <c:v>Philadelphia Phillies</c:v>
                </c:pt>
                <c:pt idx="6">
                  <c:v>San Francisco Giants</c:v>
                </c:pt>
                <c:pt idx="7">
                  <c:v>Chicago Cubs</c:v>
                </c:pt>
                <c:pt idx="8">
                  <c:v>Texas Rangers</c:v>
                </c:pt>
                <c:pt idx="9">
                  <c:v>Detroit Tigers</c:v>
                </c:pt>
                <c:pt idx="10">
                  <c:v>Toronto Blue Jays</c:v>
                </c:pt>
                <c:pt idx="11">
                  <c:v>Colorado Rockies</c:v>
                </c:pt>
                <c:pt idx="12">
                  <c:v>Washington Nationals</c:v>
                </c:pt>
                <c:pt idx="13">
                  <c:v>Chicago White Sox</c:v>
                </c:pt>
                <c:pt idx="14">
                  <c:v>St. Louis Cardinals</c:v>
                </c:pt>
                <c:pt idx="15">
                  <c:v>Houston Astros</c:v>
                </c:pt>
                <c:pt idx="16">
                  <c:v>San Diego Padres</c:v>
                </c:pt>
                <c:pt idx="17">
                  <c:v>Atlanta Braves</c:v>
                </c:pt>
                <c:pt idx="18">
                  <c:v>Seattle Mariners</c:v>
                </c:pt>
                <c:pt idx="19">
                  <c:v>Minnesota Twins</c:v>
                </c:pt>
                <c:pt idx="20">
                  <c:v>Arizona Diamondbacks</c:v>
                </c:pt>
                <c:pt idx="21">
                  <c:v>Cincinnati Reds</c:v>
                </c:pt>
                <c:pt idx="22">
                  <c:v>Kansas City Royals</c:v>
                </c:pt>
                <c:pt idx="23">
                  <c:v>Baltimore Orioles</c:v>
                </c:pt>
                <c:pt idx="24">
                  <c:v>Milwaukee Brewers</c:v>
                </c:pt>
                <c:pt idx="25">
                  <c:v>Miami Marlins</c:v>
                </c:pt>
                <c:pt idx="26">
                  <c:v>Cleveland Guardians</c:v>
                </c:pt>
                <c:pt idx="27">
                  <c:v>Pittsburgh Pirates</c:v>
                </c:pt>
                <c:pt idx="28">
                  <c:v>Oakland Athletics</c:v>
                </c:pt>
                <c:pt idx="29">
                  <c:v>Tampa Bay Rays</c:v>
                </c:pt>
              </c:strCache>
            </c:strRef>
          </c:cat>
          <c:val>
            <c:numRef>
              <c:f>Pivots!$B$23:$B$53</c:f>
              <c:numCache>
                <c:formatCode>_-[$$-409]* #\ ##0.00_ ;_-[$$-409]* \-#\ ##0.00\ ;_-[$$-409]* "-"??_ ;_-@_ </c:formatCode>
                <c:ptCount val="30"/>
                <c:pt idx="0">
                  <c:v>2579332.8120372733</c:v>
                </c:pt>
                <c:pt idx="1">
                  <c:v>2386090.5865531177</c:v>
                </c:pt>
                <c:pt idx="2">
                  <c:v>2368018.7253851006</c:v>
                </c:pt>
                <c:pt idx="3">
                  <c:v>2209401.2715388434</c:v>
                </c:pt>
                <c:pt idx="4">
                  <c:v>2191747.4323492139</c:v>
                </c:pt>
                <c:pt idx="5">
                  <c:v>2152569.1387341432</c:v>
                </c:pt>
                <c:pt idx="6">
                  <c:v>2134318.4713308197</c:v>
                </c:pt>
                <c:pt idx="7">
                  <c:v>2001290.2695258479</c:v>
                </c:pt>
                <c:pt idx="8">
                  <c:v>1876861.6588967687</c:v>
                </c:pt>
                <c:pt idx="9">
                  <c:v>1858814.6004125031</c:v>
                </c:pt>
                <c:pt idx="10">
                  <c:v>1823442.8703792316</c:v>
                </c:pt>
                <c:pt idx="11">
                  <c:v>1773013.6528044546</c:v>
                </c:pt>
                <c:pt idx="12">
                  <c:v>1740464.2330206723</c:v>
                </c:pt>
                <c:pt idx="13">
                  <c:v>1731965.5525945139</c:v>
                </c:pt>
                <c:pt idx="14">
                  <c:v>1708086.3864389944</c:v>
                </c:pt>
                <c:pt idx="15">
                  <c:v>1615962.7597570724</c:v>
                </c:pt>
                <c:pt idx="16">
                  <c:v>1571257.5416296429</c:v>
                </c:pt>
                <c:pt idx="17">
                  <c:v>1564514.8512330351</c:v>
                </c:pt>
                <c:pt idx="18">
                  <c:v>1547711.2814958186</c:v>
                </c:pt>
                <c:pt idx="19">
                  <c:v>1544332.4049355274</c:v>
                </c:pt>
                <c:pt idx="20">
                  <c:v>1422950.9138567115</c:v>
                </c:pt>
                <c:pt idx="21">
                  <c:v>1422210.3809774455</c:v>
                </c:pt>
                <c:pt idx="22">
                  <c:v>1418356.8943774258</c:v>
                </c:pt>
                <c:pt idx="23">
                  <c:v>1313354.9772498615</c:v>
                </c:pt>
                <c:pt idx="24">
                  <c:v>1211809.1627566468</c:v>
                </c:pt>
                <c:pt idx="25">
                  <c:v>1131117.7940575753</c:v>
                </c:pt>
                <c:pt idx="26">
                  <c:v>1050558.1636715734</c:v>
                </c:pt>
                <c:pt idx="27">
                  <c:v>1005674.1509823265</c:v>
                </c:pt>
                <c:pt idx="28">
                  <c:v>971574.78531288658</c:v>
                </c:pt>
                <c:pt idx="29">
                  <c:v>835593.27472536196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6-4C5B-97DE-AB23D5F9E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557583"/>
        <c:axId val="539559503"/>
      </c:barChart>
      <c:catAx>
        <c:axId val="53955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39559503"/>
        <c:crosses val="autoZero"/>
        <c:auto val="1"/>
        <c:lblAlgn val="ctr"/>
        <c:lblOffset val="100"/>
        <c:noMultiLvlLbl val="0"/>
      </c:catAx>
      <c:valAx>
        <c:axId val="53955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_ ;_-[$$-409]* \-#,##0.0\ ;_-[$$-409]* &quot;-&quot;?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3955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[MLB_Payrolls_Data preparation.xlsx]Pivots!Tabela Dinâmica16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Pivots!$B$56</c:f>
              <c:strCache>
                <c:ptCount val="1"/>
                <c:pt idx="0">
                  <c:v>Average de % Active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Pivots!$A$57:$A$60</c:f>
              <c:strCache>
                <c:ptCount val="3"/>
                <c:pt idx="0">
                  <c:v>Division Winner</c:v>
                </c:pt>
                <c:pt idx="1">
                  <c:v>No Playoffs</c:v>
                </c:pt>
                <c:pt idx="2">
                  <c:v>Wildcard</c:v>
                </c:pt>
              </c:strCache>
            </c:strRef>
          </c:cat>
          <c:val>
            <c:numRef>
              <c:f>Pivots!$B$57:$B$60</c:f>
              <c:numCache>
                <c:formatCode>0%</c:formatCode>
                <c:ptCount val="3"/>
                <c:pt idx="0">
                  <c:v>0.83775903038265498</c:v>
                </c:pt>
                <c:pt idx="1">
                  <c:v>0.68419885408011516</c:v>
                </c:pt>
                <c:pt idx="2">
                  <c:v>0.79482100184118842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7-415A-A697-FA63974DB062}"/>
            </c:ext>
          </c:extLst>
        </c:ser>
        <c:ser>
          <c:idx val="1"/>
          <c:order val="1"/>
          <c:tx>
            <c:strRef>
              <c:f>Pivots!$C$56</c:f>
              <c:strCache>
                <c:ptCount val="1"/>
                <c:pt idx="0">
                  <c:v>Average % Injured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Pivots!$A$57:$A$60</c:f>
              <c:strCache>
                <c:ptCount val="3"/>
                <c:pt idx="0">
                  <c:v>Division Winner</c:v>
                </c:pt>
                <c:pt idx="1">
                  <c:v>No Playoffs</c:v>
                </c:pt>
                <c:pt idx="2">
                  <c:v>Wildcard</c:v>
                </c:pt>
              </c:strCache>
            </c:strRef>
          </c:cat>
          <c:val>
            <c:numRef>
              <c:f>Pivots!$C$57:$C$60</c:f>
              <c:numCache>
                <c:formatCode>0%</c:formatCode>
                <c:ptCount val="3"/>
                <c:pt idx="0">
                  <c:v>6.515901992332418E-2</c:v>
                </c:pt>
                <c:pt idx="1">
                  <c:v>0.11250404122833904</c:v>
                </c:pt>
                <c:pt idx="2">
                  <c:v>7.6765175508293884E-2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97-415A-A697-FA63974DB062}"/>
            </c:ext>
          </c:extLst>
        </c:ser>
        <c:ser>
          <c:idx val="2"/>
          <c:order val="2"/>
          <c:tx>
            <c:strRef>
              <c:f>Pivots!$D$56</c:f>
              <c:strCache>
                <c:ptCount val="1"/>
                <c:pt idx="0">
                  <c:v>Average % Retained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Pivots!$A$57:$A$60</c:f>
              <c:strCache>
                <c:ptCount val="3"/>
                <c:pt idx="0">
                  <c:v>Division Winner</c:v>
                </c:pt>
                <c:pt idx="1">
                  <c:v>No Playoffs</c:v>
                </c:pt>
                <c:pt idx="2">
                  <c:v>Wildcard</c:v>
                </c:pt>
              </c:strCache>
            </c:strRef>
          </c:cat>
          <c:val>
            <c:numRef>
              <c:f>Pivots!$D$57:$D$60</c:f>
              <c:numCache>
                <c:formatCode>0%</c:formatCode>
                <c:ptCount val="3"/>
                <c:pt idx="0">
                  <c:v>7.8534419445215081E-2</c:v>
                </c:pt>
                <c:pt idx="1">
                  <c:v>0.18300076361877157</c:v>
                </c:pt>
                <c:pt idx="2">
                  <c:v>0.10784041022022514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97-415A-A697-FA63974DB062}"/>
            </c:ext>
          </c:extLst>
        </c:ser>
        <c:ser>
          <c:idx val="3"/>
          <c:order val="3"/>
          <c:tx>
            <c:strRef>
              <c:f>Pivots!$E$56</c:f>
              <c:strCache>
                <c:ptCount val="1"/>
                <c:pt idx="0">
                  <c:v>Average de % Buried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Pivots!$A$57:$A$60</c:f>
              <c:strCache>
                <c:ptCount val="3"/>
                <c:pt idx="0">
                  <c:v>Division Winner</c:v>
                </c:pt>
                <c:pt idx="1">
                  <c:v>No Playoffs</c:v>
                </c:pt>
                <c:pt idx="2">
                  <c:v>Wildcard</c:v>
                </c:pt>
              </c:strCache>
            </c:strRef>
          </c:cat>
          <c:val>
            <c:numRef>
              <c:f>Pivots!$E$57:$E$60</c:f>
              <c:numCache>
                <c:formatCode>0%</c:formatCode>
                <c:ptCount val="3"/>
                <c:pt idx="0">
                  <c:v>1.4291963596262865E-2</c:v>
                </c:pt>
                <c:pt idx="1">
                  <c:v>1.4695150920968446E-2</c:v>
                </c:pt>
                <c:pt idx="2">
                  <c:v>1.2534267953275693E-2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97-415A-A697-FA63974DB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3661039"/>
        <c:axId val="1703662479"/>
      </c:barChart>
      <c:catAx>
        <c:axId val="1703661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03662479"/>
        <c:crosses val="autoZero"/>
        <c:auto val="1"/>
        <c:lblAlgn val="ctr"/>
        <c:lblOffset val="100"/>
        <c:noMultiLvlLbl val="0"/>
      </c:catAx>
      <c:valAx>
        <c:axId val="1703662479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0366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'Dispersion Scatter'!$D$1</c:f>
              <c:strCache>
                <c:ptCount val="1"/>
                <c:pt idx="0">
                  <c:v>Win %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'Dispersion Scatter'!$C$2:$C$421</c:f>
              <c:numCache>
                <c:formatCode>_-[$$-409]* #\ ##0.00_ ;_-[$$-409]* \-#\ ##0.00\ ;_-[$$-409]* "-"??_ ;_-@_ </c:formatCode>
                <c:ptCount val="420"/>
                <c:pt idx="0">
                  <c:v>23478635</c:v>
                </c:pt>
                <c:pt idx="1">
                  <c:v>25343022</c:v>
                </c:pt>
                <c:pt idx="2">
                  <c:v>28290689</c:v>
                </c:pt>
                <c:pt idx="3">
                  <c:v>28727913</c:v>
                </c:pt>
                <c:pt idx="4">
                  <c:v>33901920</c:v>
                </c:pt>
                <c:pt idx="5">
                  <c:v>34934696</c:v>
                </c:pt>
                <c:pt idx="6">
                  <c:v>36209554</c:v>
                </c:pt>
                <c:pt idx="7">
                  <c:v>36720178</c:v>
                </c:pt>
                <c:pt idx="8">
                  <c:v>39299107</c:v>
                </c:pt>
                <c:pt idx="9">
                  <c:v>41434086</c:v>
                </c:pt>
                <c:pt idx="10">
                  <c:v>42421870</c:v>
                </c:pt>
                <c:pt idx="11">
                  <c:v>43164880</c:v>
                </c:pt>
                <c:pt idx="12">
                  <c:v>44888388</c:v>
                </c:pt>
                <c:pt idx="13">
                  <c:v>45386925</c:v>
                </c:pt>
                <c:pt idx="14">
                  <c:v>47976645</c:v>
                </c:pt>
                <c:pt idx="15">
                  <c:v>48018810</c:v>
                </c:pt>
                <c:pt idx="16">
                  <c:v>48443900</c:v>
                </c:pt>
                <c:pt idx="17">
                  <c:v>50559679</c:v>
                </c:pt>
                <c:pt idx="18">
                  <c:v>50563459</c:v>
                </c:pt>
                <c:pt idx="19">
                  <c:v>50670534</c:v>
                </c:pt>
                <c:pt idx="20">
                  <c:v>51679490</c:v>
                </c:pt>
                <c:pt idx="21">
                  <c:v>52486804</c:v>
                </c:pt>
                <c:pt idx="22">
                  <c:v>53665251</c:v>
                </c:pt>
                <c:pt idx="23">
                  <c:v>54237801</c:v>
                </c:pt>
                <c:pt idx="24">
                  <c:v>54356609</c:v>
                </c:pt>
                <c:pt idx="25">
                  <c:v>54547239</c:v>
                </c:pt>
                <c:pt idx="26">
                  <c:v>55147001</c:v>
                </c:pt>
                <c:pt idx="27">
                  <c:v>55960593</c:v>
                </c:pt>
                <c:pt idx="28">
                  <c:v>56098581</c:v>
                </c:pt>
                <c:pt idx="29">
                  <c:v>56184032</c:v>
                </c:pt>
                <c:pt idx="30">
                  <c:v>58088180</c:v>
                </c:pt>
                <c:pt idx="31">
                  <c:v>59679689</c:v>
                </c:pt>
                <c:pt idx="32">
                  <c:v>60470192</c:v>
                </c:pt>
                <c:pt idx="33">
                  <c:v>60552671</c:v>
                </c:pt>
                <c:pt idx="34">
                  <c:v>61118682</c:v>
                </c:pt>
                <c:pt idx="35">
                  <c:v>62132581</c:v>
                </c:pt>
                <c:pt idx="36">
                  <c:v>62161191</c:v>
                </c:pt>
                <c:pt idx="37">
                  <c:v>62243227</c:v>
                </c:pt>
                <c:pt idx="38">
                  <c:v>62408549</c:v>
                </c:pt>
                <c:pt idx="39">
                  <c:v>63831125</c:v>
                </c:pt>
                <c:pt idx="40">
                  <c:v>64178722</c:v>
                </c:pt>
                <c:pt idx="41">
                  <c:v>64297970</c:v>
                </c:pt>
                <c:pt idx="42">
                  <c:v>64576736</c:v>
                </c:pt>
                <c:pt idx="43">
                  <c:v>65006851</c:v>
                </c:pt>
                <c:pt idx="44">
                  <c:v>65598752</c:v>
                </c:pt>
                <c:pt idx="45">
                  <c:v>66477492</c:v>
                </c:pt>
                <c:pt idx="46">
                  <c:v>67040893</c:v>
                </c:pt>
                <c:pt idx="47">
                  <c:v>67055517</c:v>
                </c:pt>
                <c:pt idx="48">
                  <c:v>67649701</c:v>
                </c:pt>
                <c:pt idx="49">
                  <c:v>67808533</c:v>
                </c:pt>
                <c:pt idx="50">
                  <c:v>68144135</c:v>
                </c:pt>
                <c:pt idx="51">
                  <c:v>68706439</c:v>
                </c:pt>
                <c:pt idx="52">
                  <c:v>68810167</c:v>
                </c:pt>
                <c:pt idx="53">
                  <c:v>70104552</c:v>
                </c:pt>
                <c:pt idx="54">
                  <c:v>70344235</c:v>
                </c:pt>
                <c:pt idx="55">
                  <c:v>71480984</c:v>
                </c:pt>
                <c:pt idx="56">
                  <c:v>71839808</c:v>
                </c:pt>
                <c:pt idx="57">
                  <c:v>72176474</c:v>
                </c:pt>
                <c:pt idx="58">
                  <c:v>72600703</c:v>
                </c:pt>
                <c:pt idx="59">
                  <c:v>72861614</c:v>
                </c:pt>
                <c:pt idx="60">
                  <c:v>72990525</c:v>
                </c:pt>
                <c:pt idx="61">
                  <c:v>73241552</c:v>
                </c:pt>
                <c:pt idx="62">
                  <c:v>73246343</c:v>
                </c:pt>
                <c:pt idx="63">
                  <c:v>73328658</c:v>
                </c:pt>
                <c:pt idx="64">
                  <c:v>73408817</c:v>
                </c:pt>
                <c:pt idx="65">
                  <c:v>73477080</c:v>
                </c:pt>
                <c:pt idx="66">
                  <c:v>73491604</c:v>
                </c:pt>
                <c:pt idx="67">
                  <c:v>73543547</c:v>
                </c:pt>
                <c:pt idx="68">
                  <c:v>74574723</c:v>
                </c:pt>
                <c:pt idx="69">
                  <c:v>74670975</c:v>
                </c:pt>
                <c:pt idx="70">
                  <c:v>74697333</c:v>
                </c:pt>
                <c:pt idx="71">
                  <c:v>74948362</c:v>
                </c:pt>
                <c:pt idx="72">
                  <c:v>75241048</c:v>
                </c:pt>
                <c:pt idx="73">
                  <c:v>75596271</c:v>
                </c:pt>
                <c:pt idx="74">
                  <c:v>76365306</c:v>
                </c:pt>
                <c:pt idx="75">
                  <c:v>76577243</c:v>
                </c:pt>
                <c:pt idx="76">
                  <c:v>76741788</c:v>
                </c:pt>
                <c:pt idx="77">
                  <c:v>76781801</c:v>
                </c:pt>
                <c:pt idx="78">
                  <c:v>76802804</c:v>
                </c:pt>
                <c:pt idx="79">
                  <c:v>76821046</c:v>
                </c:pt>
                <c:pt idx="80">
                  <c:v>76921678</c:v>
                </c:pt>
                <c:pt idx="81">
                  <c:v>77404413</c:v>
                </c:pt>
                <c:pt idx="82">
                  <c:v>77673582</c:v>
                </c:pt>
                <c:pt idx="83">
                  <c:v>77811205</c:v>
                </c:pt>
                <c:pt idx="84">
                  <c:v>80491339</c:v>
                </c:pt>
                <c:pt idx="85">
                  <c:v>80711013</c:v>
                </c:pt>
                <c:pt idx="86">
                  <c:v>81300970</c:v>
                </c:pt>
                <c:pt idx="87">
                  <c:v>81341546</c:v>
                </c:pt>
                <c:pt idx="88">
                  <c:v>81920546</c:v>
                </c:pt>
                <c:pt idx="89">
                  <c:v>81945598</c:v>
                </c:pt>
                <c:pt idx="90">
                  <c:v>82655105</c:v>
                </c:pt>
                <c:pt idx="91">
                  <c:v>82720022</c:v>
                </c:pt>
                <c:pt idx="92">
                  <c:v>82897934</c:v>
                </c:pt>
                <c:pt idx="93">
                  <c:v>82932168</c:v>
                </c:pt>
                <c:pt idx="94">
                  <c:v>83109288</c:v>
                </c:pt>
                <c:pt idx="95">
                  <c:v>83435559</c:v>
                </c:pt>
                <c:pt idx="96">
                  <c:v>83698945</c:v>
                </c:pt>
                <c:pt idx="97">
                  <c:v>83822113</c:v>
                </c:pt>
                <c:pt idx="98">
                  <c:v>84050989</c:v>
                </c:pt>
                <c:pt idx="99">
                  <c:v>84210390</c:v>
                </c:pt>
                <c:pt idx="100">
                  <c:v>84289928</c:v>
                </c:pt>
                <c:pt idx="101">
                  <c:v>84398434</c:v>
                </c:pt>
                <c:pt idx="102">
                  <c:v>84481929</c:v>
                </c:pt>
                <c:pt idx="103">
                  <c:v>84598388</c:v>
                </c:pt>
                <c:pt idx="104">
                  <c:v>85001967</c:v>
                </c:pt>
                <c:pt idx="105">
                  <c:v>85293905</c:v>
                </c:pt>
                <c:pt idx="106">
                  <c:v>85495238</c:v>
                </c:pt>
                <c:pt idx="107">
                  <c:v>86012838</c:v>
                </c:pt>
                <c:pt idx="108">
                  <c:v>87226437</c:v>
                </c:pt>
                <c:pt idx="109">
                  <c:v>87232529</c:v>
                </c:pt>
                <c:pt idx="110">
                  <c:v>87494478</c:v>
                </c:pt>
                <c:pt idx="111">
                  <c:v>88221045</c:v>
                </c:pt>
                <c:pt idx="112">
                  <c:v>88316478</c:v>
                </c:pt>
                <c:pt idx="113">
                  <c:v>88454422</c:v>
                </c:pt>
                <c:pt idx="114">
                  <c:v>88911627</c:v>
                </c:pt>
                <c:pt idx="115">
                  <c:v>89297302</c:v>
                </c:pt>
                <c:pt idx="116">
                  <c:v>89707422</c:v>
                </c:pt>
                <c:pt idx="117">
                  <c:v>89767668</c:v>
                </c:pt>
                <c:pt idx="118">
                  <c:v>89901498</c:v>
                </c:pt>
                <c:pt idx="119">
                  <c:v>90364741</c:v>
                </c:pt>
                <c:pt idx="120">
                  <c:v>91025861</c:v>
                </c:pt>
                <c:pt idx="121">
                  <c:v>91371201</c:v>
                </c:pt>
                <c:pt idx="122">
                  <c:v>91595545</c:v>
                </c:pt>
                <c:pt idx="123">
                  <c:v>91632929</c:v>
                </c:pt>
                <c:pt idx="124">
                  <c:v>91638412</c:v>
                </c:pt>
                <c:pt idx="125">
                  <c:v>91665500</c:v>
                </c:pt>
                <c:pt idx="126">
                  <c:v>91751399</c:v>
                </c:pt>
                <c:pt idx="127">
                  <c:v>92277138</c:v>
                </c:pt>
                <c:pt idx="128">
                  <c:v>92613711</c:v>
                </c:pt>
                <c:pt idx="129">
                  <c:v>93008897</c:v>
                </c:pt>
                <c:pt idx="130">
                  <c:v>93378663</c:v>
                </c:pt>
                <c:pt idx="131">
                  <c:v>93852267</c:v>
                </c:pt>
                <c:pt idx="132">
                  <c:v>94478037</c:v>
                </c:pt>
                <c:pt idx="133">
                  <c:v>94947950</c:v>
                </c:pt>
                <c:pt idx="134">
                  <c:v>95551627</c:v>
                </c:pt>
                <c:pt idx="135">
                  <c:v>95573417</c:v>
                </c:pt>
                <c:pt idx="136">
                  <c:v>95596347</c:v>
                </c:pt>
                <c:pt idx="137">
                  <c:v>95788819</c:v>
                </c:pt>
                <c:pt idx="138">
                  <c:v>96019377</c:v>
                </c:pt>
                <c:pt idx="139">
                  <c:v>96436003</c:v>
                </c:pt>
                <c:pt idx="140">
                  <c:v>96590305</c:v>
                </c:pt>
                <c:pt idx="141">
                  <c:v>96603300</c:v>
                </c:pt>
                <c:pt idx="142">
                  <c:v>96772365</c:v>
                </c:pt>
                <c:pt idx="143">
                  <c:v>96961614</c:v>
                </c:pt>
                <c:pt idx="144">
                  <c:v>97167073</c:v>
                </c:pt>
                <c:pt idx="145">
                  <c:v>97244457</c:v>
                </c:pt>
                <c:pt idx="146">
                  <c:v>97874482</c:v>
                </c:pt>
                <c:pt idx="147">
                  <c:v>97928056</c:v>
                </c:pt>
                <c:pt idx="148">
                  <c:v>98044359</c:v>
                </c:pt>
                <c:pt idx="149">
                  <c:v>98120191</c:v>
                </c:pt>
                <c:pt idx="150">
                  <c:v>98644531</c:v>
                </c:pt>
                <c:pt idx="151">
                  <c:v>98696230</c:v>
                </c:pt>
                <c:pt idx="152">
                  <c:v>99377415</c:v>
                </c:pt>
                <c:pt idx="153">
                  <c:v>99435606</c:v>
                </c:pt>
                <c:pt idx="154">
                  <c:v>99518136</c:v>
                </c:pt>
                <c:pt idx="155">
                  <c:v>99828742</c:v>
                </c:pt>
                <c:pt idx="156">
                  <c:v>100254855</c:v>
                </c:pt>
                <c:pt idx="157">
                  <c:v>100305768</c:v>
                </c:pt>
                <c:pt idx="158">
                  <c:v>100430869</c:v>
                </c:pt>
                <c:pt idx="159">
                  <c:v>100503030</c:v>
                </c:pt>
                <c:pt idx="160">
                  <c:v>100829148</c:v>
                </c:pt>
                <c:pt idx="161">
                  <c:v>101277051</c:v>
                </c:pt>
                <c:pt idx="162">
                  <c:v>101300814</c:v>
                </c:pt>
                <c:pt idx="163">
                  <c:v>101760815</c:v>
                </c:pt>
                <c:pt idx="164">
                  <c:v>102619475</c:v>
                </c:pt>
                <c:pt idx="165">
                  <c:v>103152899</c:v>
                </c:pt>
                <c:pt idx="166">
                  <c:v>103326721</c:v>
                </c:pt>
                <c:pt idx="167">
                  <c:v>103699790</c:v>
                </c:pt>
                <c:pt idx="168">
                  <c:v>103804640</c:v>
                </c:pt>
                <c:pt idx="169">
                  <c:v>103898809</c:v>
                </c:pt>
                <c:pt idx="170">
                  <c:v>103945407</c:v>
                </c:pt>
                <c:pt idx="171">
                  <c:v>103973003</c:v>
                </c:pt>
                <c:pt idx="172">
                  <c:v>104020808</c:v>
                </c:pt>
                <c:pt idx="173">
                  <c:v>104297471</c:v>
                </c:pt>
                <c:pt idx="174">
                  <c:v>104971268</c:v>
                </c:pt>
                <c:pt idx="175">
                  <c:v>104988166</c:v>
                </c:pt>
                <c:pt idx="176">
                  <c:v>105224582</c:v>
                </c:pt>
                <c:pt idx="177">
                  <c:v>105268575</c:v>
                </c:pt>
                <c:pt idx="178">
                  <c:v>105435809</c:v>
                </c:pt>
                <c:pt idx="179">
                  <c:v>106231818</c:v>
                </c:pt>
                <c:pt idx="180">
                  <c:v>106343190</c:v>
                </c:pt>
                <c:pt idx="181">
                  <c:v>106838693</c:v>
                </c:pt>
                <c:pt idx="182">
                  <c:v>106902280</c:v>
                </c:pt>
                <c:pt idx="183">
                  <c:v>107915272</c:v>
                </c:pt>
                <c:pt idx="184">
                  <c:v>107939507</c:v>
                </c:pt>
                <c:pt idx="185">
                  <c:v>108777046</c:v>
                </c:pt>
                <c:pt idx="186">
                  <c:v>108841055</c:v>
                </c:pt>
                <c:pt idx="187">
                  <c:v>108982016</c:v>
                </c:pt>
                <c:pt idx="188">
                  <c:v>109335494</c:v>
                </c:pt>
                <c:pt idx="189">
                  <c:v>110398927</c:v>
                </c:pt>
                <c:pt idx="190">
                  <c:v>110765599</c:v>
                </c:pt>
                <c:pt idx="191">
                  <c:v>110826407</c:v>
                </c:pt>
                <c:pt idx="192">
                  <c:v>110913266</c:v>
                </c:pt>
                <c:pt idx="193">
                  <c:v>111086139</c:v>
                </c:pt>
                <c:pt idx="194">
                  <c:v>111521015</c:v>
                </c:pt>
                <c:pt idx="195">
                  <c:v>111777595</c:v>
                </c:pt>
                <c:pt idx="196">
                  <c:v>111939081</c:v>
                </c:pt>
                <c:pt idx="197">
                  <c:v>112333097</c:v>
                </c:pt>
                <c:pt idx="198">
                  <c:v>113095795</c:v>
                </c:pt>
                <c:pt idx="199">
                  <c:v>113351318</c:v>
                </c:pt>
                <c:pt idx="200">
                  <c:v>113562943</c:v>
                </c:pt>
                <c:pt idx="201">
                  <c:v>114223379</c:v>
                </c:pt>
                <c:pt idx="202">
                  <c:v>114445627</c:v>
                </c:pt>
                <c:pt idx="203">
                  <c:v>114631137</c:v>
                </c:pt>
                <c:pt idx="204">
                  <c:v>115174517</c:v>
                </c:pt>
                <c:pt idx="205">
                  <c:v>115413345</c:v>
                </c:pt>
                <c:pt idx="206">
                  <c:v>115417321</c:v>
                </c:pt>
                <c:pt idx="207">
                  <c:v>115509520</c:v>
                </c:pt>
                <c:pt idx="208">
                  <c:v>115534174</c:v>
                </c:pt>
                <c:pt idx="209">
                  <c:v>115861526</c:v>
                </c:pt>
                <c:pt idx="210">
                  <c:v>116208966</c:v>
                </c:pt>
                <c:pt idx="211">
                  <c:v>116400870</c:v>
                </c:pt>
                <c:pt idx="212">
                  <c:v>116584094</c:v>
                </c:pt>
                <c:pt idx="213">
                  <c:v>116777354</c:v>
                </c:pt>
                <c:pt idx="214">
                  <c:v>116865707</c:v>
                </c:pt>
                <c:pt idx="215">
                  <c:v>116925487</c:v>
                </c:pt>
                <c:pt idx="216">
                  <c:v>117202717</c:v>
                </c:pt>
                <c:pt idx="217">
                  <c:v>118672377</c:v>
                </c:pt>
                <c:pt idx="218">
                  <c:v>118919465</c:v>
                </c:pt>
                <c:pt idx="219">
                  <c:v>119344514</c:v>
                </c:pt>
                <c:pt idx="220">
                  <c:v>119957765</c:v>
                </c:pt>
                <c:pt idx="221">
                  <c:v>120192638</c:v>
                </c:pt>
                <c:pt idx="222">
                  <c:v>120525018</c:v>
                </c:pt>
                <c:pt idx="223">
                  <c:v>120842831</c:v>
                </c:pt>
                <c:pt idx="224">
                  <c:v>121340470</c:v>
                </c:pt>
                <c:pt idx="225">
                  <c:v>121417939</c:v>
                </c:pt>
                <c:pt idx="226">
                  <c:v>122566873</c:v>
                </c:pt>
                <c:pt idx="227">
                  <c:v>124719080</c:v>
                </c:pt>
                <c:pt idx="228">
                  <c:v>124766903</c:v>
                </c:pt>
                <c:pt idx="229">
                  <c:v>124805583</c:v>
                </c:pt>
                <c:pt idx="230">
                  <c:v>125242452</c:v>
                </c:pt>
                <c:pt idx="231">
                  <c:v>125256003</c:v>
                </c:pt>
                <c:pt idx="232">
                  <c:v>126045473</c:v>
                </c:pt>
                <c:pt idx="233">
                  <c:v>126529835</c:v>
                </c:pt>
                <c:pt idx="234">
                  <c:v>126587447</c:v>
                </c:pt>
                <c:pt idx="235">
                  <c:v>126672438</c:v>
                </c:pt>
                <c:pt idx="236">
                  <c:v>127263027</c:v>
                </c:pt>
                <c:pt idx="237">
                  <c:v>127538766</c:v>
                </c:pt>
                <c:pt idx="238">
                  <c:v>128691569</c:v>
                </c:pt>
                <c:pt idx="239">
                  <c:v>129080051</c:v>
                </c:pt>
                <c:pt idx="240">
                  <c:v>129715686</c:v>
                </c:pt>
                <c:pt idx="241">
                  <c:v>129739447</c:v>
                </c:pt>
                <c:pt idx="242">
                  <c:v>129944821</c:v>
                </c:pt>
                <c:pt idx="243">
                  <c:v>130413607</c:v>
                </c:pt>
                <c:pt idx="244">
                  <c:v>130769325</c:v>
                </c:pt>
                <c:pt idx="245">
                  <c:v>130995349</c:v>
                </c:pt>
                <c:pt idx="246">
                  <c:v>131771168</c:v>
                </c:pt>
                <c:pt idx="247">
                  <c:v>132178951</c:v>
                </c:pt>
                <c:pt idx="248">
                  <c:v>132258928</c:v>
                </c:pt>
                <c:pt idx="249">
                  <c:v>132497547</c:v>
                </c:pt>
                <c:pt idx="250">
                  <c:v>132993810</c:v>
                </c:pt>
                <c:pt idx="251">
                  <c:v>135112588</c:v>
                </c:pt>
                <c:pt idx="252">
                  <c:v>135285607</c:v>
                </c:pt>
                <c:pt idx="253">
                  <c:v>135889019</c:v>
                </c:pt>
                <c:pt idx="254">
                  <c:v>137043205</c:v>
                </c:pt>
                <c:pt idx="255">
                  <c:v>137666584</c:v>
                </c:pt>
                <c:pt idx="256">
                  <c:v>137937146</c:v>
                </c:pt>
                <c:pt idx="257">
                  <c:v>138309664</c:v>
                </c:pt>
                <c:pt idx="258">
                  <c:v>138312903</c:v>
                </c:pt>
                <c:pt idx="259">
                  <c:v>138344211</c:v>
                </c:pt>
                <c:pt idx="260">
                  <c:v>139499341</c:v>
                </c:pt>
                <c:pt idx="261">
                  <c:v>139583852</c:v>
                </c:pt>
                <c:pt idx="262">
                  <c:v>140012218</c:v>
                </c:pt>
                <c:pt idx="263">
                  <c:v>140280186</c:v>
                </c:pt>
                <c:pt idx="264">
                  <c:v>140406825</c:v>
                </c:pt>
                <c:pt idx="265">
                  <c:v>141542644</c:v>
                </c:pt>
                <c:pt idx="266">
                  <c:v>141587358</c:v>
                </c:pt>
                <c:pt idx="267">
                  <c:v>141722639</c:v>
                </c:pt>
                <c:pt idx="268">
                  <c:v>141724597</c:v>
                </c:pt>
                <c:pt idx="269">
                  <c:v>141812172</c:v>
                </c:pt>
                <c:pt idx="270">
                  <c:v>141966320</c:v>
                </c:pt>
                <c:pt idx="271">
                  <c:v>142198162</c:v>
                </c:pt>
                <c:pt idx="272">
                  <c:v>142245841</c:v>
                </c:pt>
                <c:pt idx="273">
                  <c:v>142604703</c:v>
                </c:pt>
                <c:pt idx="274">
                  <c:v>143021690</c:v>
                </c:pt>
                <c:pt idx="275">
                  <c:v>143278577</c:v>
                </c:pt>
                <c:pt idx="276">
                  <c:v>143315158</c:v>
                </c:pt>
                <c:pt idx="277">
                  <c:v>143782286</c:v>
                </c:pt>
                <c:pt idx="278">
                  <c:v>143947963</c:v>
                </c:pt>
                <c:pt idx="279">
                  <c:v>143968544</c:v>
                </c:pt>
                <c:pt idx="280">
                  <c:v>144037170</c:v>
                </c:pt>
                <c:pt idx="281">
                  <c:v>144388309</c:v>
                </c:pt>
                <c:pt idx="282">
                  <c:v>144415187</c:v>
                </c:pt>
                <c:pt idx="283">
                  <c:v>145256085</c:v>
                </c:pt>
                <c:pt idx="284">
                  <c:v>146100965</c:v>
                </c:pt>
                <c:pt idx="285">
                  <c:v>146538234</c:v>
                </c:pt>
                <c:pt idx="286">
                  <c:v>146648559</c:v>
                </c:pt>
                <c:pt idx="287">
                  <c:v>147003780</c:v>
                </c:pt>
                <c:pt idx="288">
                  <c:v>147744060</c:v>
                </c:pt>
                <c:pt idx="289">
                  <c:v>147930632</c:v>
                </c:pt>
                <c:pt idx="290">
                  <c:v>148227822</c:v>
                </c:pt>
                <c:pt idx="291">
                  <c:v>148385479</c:v>
                </c:pt>
                <c:pt idx="292">
                  <c:v>149355870</c:v>
                </c:pt>
                <c:pt idx="293">
                  <c:v>150037446</c:v>
                </c:pt>
                <c:pt idx="294">
                  <c:v>150140253</c:v>
                </c:pt>
                <c:pt idx="295">
                  <c:v>150187987</c:v>
                </c:pt>
                <c:pt idx="296">
                  <c:v>150363491</c:v>
                </c:pt>
                <c:pt idx="297">
                  <c:v>150580017</c:v>
                </c:pt>
                <c:pt idx="298">
                  <c:v>150946147</c:v>
                </c:pt>
                <c:pt idx="299">
                  <c:v>151393755</c:v>
                </c:pt>
                <c:pt idx="300">
                  <c:v>151469994</c:v>
                </c:pt>
                <c:pt idx="301">
                  <c:v>153793028</c:v>
                </c:pt>
                <c:pt idx="302">
                  <c:v>154148832</c:v>
                </c:pt>
                <c:pt idx="303">
                  <c:v>155378325</c:v>
                </c:pt>
                <c:pt idx="304">
                  <c:v>155403513</c:v>
                </c:pt>
                <c:pt idx="305">
                  <c:v>155999708</c:v>
                </c:pt>
                <c:pt idx="306">
                  <c:v>157168625</c:v>
                </c:pt>
                <c:pt idx="307">
                  <c:v>157332966</c:v>
                </c:pt>
                <c:pt idx="308">
                  <c:v>157999465</c:v>
                </c:pt>
                <c:pt idx="309">
                  <c:v>158976752</c:v>
                </c:pt>
                <c:pt idx="310">
                  <c:v>160243827</c:v>
                </c:pt>
                <c:pt idx="311">
                  <c:v>160336782</c:v>
                </c:pt>
                <c:pt idx="312">
                  <c:v>160741810</c:v>
                </c:pt>
                <c:pt idx="313">
                  <c:v>161717317</c:v>
                </c:pt>
                <c:pt idx="314">
                  <c:v>162160921</c:v>
                </c:pt>
                <c:pt idx="315">
                  <c:v>162334311</c:v>
                </c:pt>
                <c:pt idx="316">
                  <c:v>162863836</c:v>
                </c:pt>
                <c:pt idx="317">
                  <c:v>163536898</c:v>
                </c:pt>
                <c:pt idx="318">
                  <c:v>163724216</c:v>
                </c:pt>
                <c:pt idx="319">
                  <c:v>165244781</c:v>
                </c:pt>
                <c:pt idx="320">
                  <c:v>165655095</c:v>
                </c:pt>
                <c:pt idx="321">
                  <c:v>166161209</c:v>
                </c:pt>
                <c:pt idx="322">
                  <c:v>167138259</c:v>
                </c:pt>
                <c:pt idx="323">
                  <c:v>170018182</c:v>
                </c:pt>
                <c:pt idx="324">
                  <c:v>170095758</c:v>
                </c:pt>
                <c:pt idx="325">
                  <c:v>170490761</c:v>
                </c:pt>
                <c:pt idx="326">
                  <c:v>170855090</c:v>
                </c:pt>
                <c:pt idx="327">
                  <c:v>171026607</c:v>
                </c:pt>
                <c:pt idx="328">
                  <c:v>171191545</c:v>
                </c:pt>
                <c:pt idx="329">
                  <c:v>172084264</c:v>
                </c:pt>
                <c:pt idx="330">
                  <c:v>172092536</c:v>
                </c:pt>
                <c:pt idx="331">
                  <c:v>172143106</c:v>
                </c:pt>
                <c:pt idx="332">
                  <c:v>172189987</c:v>
                </c:pt>
                <c:pt idx="333">
                  <c:v>172307808</c:v>
                </c:pt>
                <c:pt idx="334">
                  <c:v>172806829</c:v>
                </c:pt>
                <c:pt idx="335">
                  <c:v>173216551</c:v>
                </c:pt>
                <c:pt idx="336">
                  <c:v>173544423</c:v>
                </c:pt>
                <c:pt idx="337">
                  <c:v>173717599</c:v>
                </c:pt>
                <c:pt idx="338">
                  <c:v>174129785</c:v>
                </c:pt>
                <c:pt idx="339">
                  <c:v>174290373</c:v>
                </c:pt>
                <c:pt idx="340">
                  <c:v>175061605</c:v>
                </c:pt>
                <c:pt idx="341">
                  <c:v>175617487</c:v>
                </c:pt>
                <c:pt idx="342">
                  <c:v>175932759</c:v>
                </c:pt>
                <c:pt idx="343">
                  <c:v>177001966</c:v>
                </c:pt>
                <c:pt idx="344">
                  <c:v>177138888</c:v>
                </c:pt>
                <c:pt idx="345">
                  <c:v>177727811</c:v>
                </c:pt>
                <c:pt idx="346">
                  <c:v>177862491</c:v>
                </c:pt>
                <c:pt idx="347">
                  <c:v>178054110</c:v>
                </c:pt>
                <c:pt idx="348">
                  <c:v>178834344</c:v>
                </c:pt>
                <c:pt idx="349">
                  <c:v>179767346</c:v>
                </c:pt>
                <c:pt idx="350">
                  <c:v>180098151</c:v>
                </c:pt>
                <c:pt idx="351">
                  <c:v>180163630</c:v>
                </c:pt>
                <c:pt idx="352">
                  <c:v>180926796</c:v>
                </c:pt>
                <c:pt idx="353">
                  <c:v>181382609</c:v>
                </c:pt>
                <c:pt idx="354">
                  <c:v>182238854</c:v>
                </c:pt>
                <c:pt idx="355">
                  <c:v>182749560</c:v>
                </c:pt>
                <c:pt idx="356">
                  <c:v>183481478</c:v>
                </c:pt>
                <c:pt idx="357">
                  <c:v>183791796</c:v>
                </c:pt>
                <c:pt idx="358">
                  <c:v>186718068</c:v>
                </c:pt>
                <c:pt idx="359">
                  <c:v>186772494</c:v>
                </c:pt>
                <c:pt idx="360">
                  <c:v>187398165</c:v>
                </c:pt>
                <c:pt idx="361">
                  <c:v>188028874</c:v>
                </c:pt>
                <c:pt idx="362">
                  <c:v>188406809</c:v>
                </c:pt>
                <c:pt idx="363">
                  <c:v>188537445</c:v>
                </c:pt>
                <c:pt idx="364">
                  <c:v>189409358</c:v>
                </c:pt>
                <c:pt idx="365">
                  <c:v>190513223</c:v>
                </c:pt>
                <c:pt idx="366">
                  <c:v>194222042</c:v>
                </c:pt>
                <c:pt idx="367">
                  <c:v>194259933</c:v>
                </c:pt>
                <c:pt idx="368">
                  <c:v>199582045</c:v>
                </c:pt>
                <c:pt idx="369">
                  <c:v>200179285</c:v>
                </c:pt>
                <c:pt idx="370">
                  <c:v>201189189</c:v>
                </c:pt>
                <c:pt idx="371">
                  <c:v>201967381</c:v>
                </c:pt>
                <c:pt idx="372">
                  <c:v>203205326</c:v>
                </c:pt>
                <c:pt idx="373">
                  <c:v>203311013</c:v>
                </c:pt>
                <c:pt idx="374">
                  <c:v>204689131</c:v>
                </c:pt>
                <c:pt idx="375">
                  <c:v>205665348</c:v>
                </c:pt>
                <c:pt idx="376">
                  <c:v>207000814</c:v>
                </c:pt>
                <c:pt idx="377">
                  <c:v>207758836</c:v>
                </c:pt>
                <c:pt idx="378">
                  <c:v>209044502</c:v>
                </c:pt>
                <c:pt idx="379">
                  <c:v>209872508</c:v>
                </c:pt>
                <c:pt idx="380">
                  <c:v>210950685</c:v>
                </c:pt>
                <c:pt idx="381">
                  <c:v>211812131</c:v>
                </c:pt>
                <c:pt idx="382">
                  <c:v>212512317</c:v>
                </c:pt>
                <c:pt idx="383">
                  <c:v>214630885</c:v>
                </c:pt>
                <c:pt idx="384">
                  <c:v>218402819</c:v>
                </c:pt>
                <c:pt idx="385">
                  <c:v>220743376</c:v>
                </c:pt>
                <c:pt idx="386">
                  <c:v>221242659</c:v>
                </c:pt>
                <c:pt idx="387">
                  <c:v>221580085</c:v>
                </c:pt>
                <c:pt idx="388">
                  <c:v>223019037</c:v>
                </c:pt>
                <c:pt idx="389">
                  <c:v>224511694</c:v>
                </c:pt>
                <c:pt idx="390">
                  <c:v>225545408</c:v>
                </c:pt>
                <c:pt idx="391">
                  <c:v>225589742</c:v>
                </c:pt>
                <c:pt idx="392">
                  <c:v>227398860</c:v>
                </c:pt>
                <c:pt idx="393">
                  <c:v>227884276</c:v>
                </c:pt>
                <c:pt idx="394">
                  <c:v>229166880</c:v>
                </c:pt>
                <c:pt idx="395">
                  <c:v>229567975</c:v>
                </c:pt>
                <c:pt idx="396">
                  <c:v>234518126</c:v>
                </c:pt>
                <c:pt idx="397">
                  <c:v>236433901</c:v>
                </c:pt>
                <c:pt idx="398">
                  <c:v>236694375</c:v>
                </c:pt>
                <c:pt idx="399">
                  <c:v>237107748</c:v>
                </c:pt>
                <c:pt idx="400">
                  <c:v>240240117</c:v>
                </c:pt>
                <c:pt idx="401">
                  <c:v>240278296</c:v>
                </c:pt>
                <c:pt idx="402">
                  <c:v>241557818</c:v>
                </c:pt>
                <c:pt idx="403">
                  <c:v>244484097</c:v>
                </c:pt>
                <c:pt idx="404">
                  <c:v>245419295</c:v>
                </c:pt>
                <c:pt idx="405">
                  <c:v>246299605</c:v>
                </c:pt>
                <c:pt idx="406">
                  <c:v>251332754</c:v>
                </c:pt>
                <c:pt idx="407">
                  <c:v>252957200</c:v>
                </c:pt>
                <c:pt idx="408">
                  <c:v>253450531</c:v>
                </c:pt>
                <c:pt idx="409">
                  <c:v>255271371</c:v>
                </c:pt>
                <c:pt idx="410">
                  <c:v>259311393</c:v>
                </c:pt>
                <c:pt idx="411">
                  <c:v>264342506</c:v>
                </c:pt>
                <c:pt idx="412">
                  <c:v>264470494</c:v>
                </c:pt>
                <c:pt idx="413">
                  <c:v>265343390</c:v>
                </c:pt>
                <c:pt idx="414">
                  <c:v>270381426</c:v>
                </c:pt>
                <c:pt idx="415">
                  <c:v>278651150</c:v>
                </c:pt>
                <c:pt idx="416">
                  <c:v>301735080</c:v>
                </c:pt>
                <c:pt idx="417">
                  <c:v>308574607</c:v>
                </c:pt>
                <c:pt idx="418">
                  <c:v>314748899</c:v>
                </c:pt>
                <c:pt idx="419">
                  <c:v>341673777</c:v>
                </c:pt>
              </c:numCache>
            </c:numRef>
          </c:xVal>
          <c:yVal>
            <c:numRef>
              <c:f>'Dispersion Scatter'!$D$2:$D$421</c:f>
              <c:numCache>
                <c:formatCode>0%</c:formatCode>
                <c:ptCount val="420"/>
                <c:pt idx="0">
                  <c:v>0.41666666666666669</c:v>
                </c:pt>
                <c:pt idx="1">
                  <c:v>0.31666666666666665</c:v>
                </c:pt>
                <c:pt idx="2">
                  <c:v>0.66666666666666663</c:v>
                </c:pt>
                <c:pt idx="3">
                  <c:v>0.31481481481481483</c:v>
                </c:pt>
                <c:pt idx="4">
                  <c:v>0.51666666666666672</c:v>
                </c:pt>
                <c:pt idx="5">
                  <c:v>0.43333333333333335</c:v>
                </c:pt>
                <c:pt idx="6">
                  <c:v>0.38271604938271603</c:v>
                </c:pt>
                <c:pt idx="7">
                  <c:v>0.6</c:v>
                </c:pt>
                <c:pt idx="8">
                  <c:v>0.58333333333333337</c:v>
                </c:pt>
                <c:pt idx="9">
                  <c:v>0.48333333333333334</c:v>
                </c:pt>
                <c:pt idx="10">
                  <c:v>0.32098765432098764</c:v>
                </c:pt>
                <c:pt idx="11">
                  <c:v>0.39655172413793105</c:v>
                </c:pt>
                <c:pt idx="12">
                  <c:v>0.51234567901234573</c:v>
                </c:pt>
                <c:pt idx="13">
                  <c:v>0.56172839506172845</c:v>
                </c:pt>
                <c:pt idx="14">
                  <c:v>0.44444444444444442</c:v>
                </c:pt>
                <c:pt idx="15">
                  <c:v>0.43827160493827161</c:v>
                </c:pt>
                <c:pt idx="16">
                  <c:v>0.37037037037037035</c:v>
                </c:pt>
                <c:pt idx="17">
                  <c:v>0.47530864197530864</c:v>
                </c:pt>
                <c:pt idx="18">
                  <c:v>0.45</c:v>
                </c:pt>
                <c:pt idx="19">
                  <c:v>0.49382716049382713</c:v>
                </c:pt>
                <c:pt idx="20">
                  <c:v>0.43209876543209874</c:v>
                </c:pt>
                <c:pt idx="21">
                  <c:v>0.43827160493827161</c:v>
                </c:pt>
                <c:pt idx="22">
                  <c:v>0.58333333333333337</c:v>
                </c:pt>
                <c:pt idx="23">
                  <c:v>0.53333333333333333</c:v>
                </c:pt>
                <c:pt idx="24">
                  <c:v>0.37654320987654322</c:v>
                </c:pt>
                <c:pt idx="25">
                  <c:v>0.33950617283950618</c:v>
                </c:pt>
                <c:pt idx="26">
                  <c:v>0.51666666666666672</c:v>
                </c:pt>
                <c:pt idx="27">
                  <c:v>0.49382716049382713</c:v>
                </c:pt>
                <c:pt idx="28">
                  <c:v>0.36666666666666664</c:v>
                </c:pt>
                <c:pt idx="29">
                  <c:v>0.38271604938271603</c:v>
                </c:pt>
                <c:pt idx="30">
                  <c:v>0.41358024691358025</c:v>
                </c:pt>
                <c:pt idx="31">
                  <c:v>0.6</c:v>
                </c:pt>
                <c:pt idx="32">
                  <c:v>0.58024691358024694</c:v>
                </c:pt>
                <c:pt idx="33">
                  <c:v>0.58333333333333337</c:v>
                </c:pt>
                <c:pt idx="34">
                  <c:v>0.48765432098765432</c:v>
                </c:pt>
                <c:pt idx="35">
                  <c:v>0.42592592592592593</c:v>
                </c:pt>
                <c:pt idx="36">
                  <c:v>0.45061728395061729</c:v>
                </c:pt>
                <c:pt idx="37">
                  <c:v>0.30864197530864196</c:v>
                </c:pt>
                <c:pt idx="38">
                  <c:v>0.41975308641975306</c:v>
                </c:pt>
                <c:pt idx="39">
                  <c:v>0.46913580246913578</c:v>
                </c:pt>
                <c:pt idx="40">
                  <c:v>0.59259259259259256</c:v>
                </c:pt>
                <c:pt idx="41">
                  <c:v>0.58024691358024694</c:v>
                </c:pt>
                <c:pt idx="42">
                  <c:v>0.53086419753086422</c:v>
                </c:pt>
                <c:pt idx="43">
                  <c:v>0.44444444444444442</c:v>
                </c:pt>
                <c:pt idx="44">
                  <c:v>0.41666666666666669</c:v>
                </c:pt>
                <c:pt idx="45">
                  <c:v>0.5679012345679012</c:v>
                </c:pt>
                <c:pt idx="46">
                  <c:v>0.43333333333333335</c:v>
                </c:pt>
                <c:pt idx="47">
                  <c:v>0.59259259259259256</c:v>
                </c:pt>
                <c:pt idx="48">
                  <c:v>0.46913580246913578</c:v>
                </c:pt>
                <c:pt idx="49">
                  <c:v>0.43333333333333335</c:v>
                </c:pt>
                <c:pt idx="50">
                  <c:v>0.55555555555555558</c:v>
                </c:pt>
                <c:pt idx="51">
                  <c:v>0.62345679012345678</c:v>
                </c:pt>
                <c:pt idx="52">
                  <c:v>0.55555555555555558</c:v>
                </c:pt>
                <c:pt idx="53">
                  <c:v>0.61728395061728392</c:v>
                </c:pt>
                <c:pt idx="54">
                  <c:v>0.44444444444444442</c:v>
                </c:pt>
                <c:pt idx="55">
                  <c:v>0.58024691358024694</c:v>
                </c:pt>
                <c:pt idx="56">
                  <c:v>0.38271604938271603</c:v>
                </c:pt>
                <c:pt idx="57">
                  <c:v>0.42592592592592593</c:v>
                </c:pt>
                <c:pt idx="58">
                  <c:v>0.56441717791411039</c:v>
                </c:pt>
                <c:pt idx="59">
                  <c:v>0.6166666666666667</c:v>
                </c:pt>
                <c:pt idx="60">
                  <c:v>0.43827160493827161</c:v>
                </c:pt>
                <c:pt idx="61">
                  <c:v>0.49382716049382713</c:v>
                </c:pt>
                <c:pt idx="62">
                  <c:v>0.51724137931034486</c:v>
                </c:pt>
                <c:pt idx="63">
                  <c:v>0.33333333333333331</c:v>
                </c:pt>
                <c:pt idx="64">
                  <c:v>0.48333333333333334</c:v>
                </c:pt>
                <c:pt idx="65">
                  <c:v>0.46296296296296297</c:v>
                </c:pt>
                <c:pt idx="66">
                  <c:v>0.5</c:v>
                </c:pt>
                <c:pt idx="67">
                  <c:v>0.46666666666666667</c:v>
                </c:pt>
                <c:pt idx="68">
                  <c:v>0.49689440993788819</c:v>
                </c:pt>
                <c:pt idx="69">
                  <c:v>0.46913580246913578</c:v>
                </c:pt>
                <c:pt idx="70">
                  <c:v>0.43333333333333335</c:v>
                </c:pt>
                <c:pt idx="71">
                  <c:v>0.61111111111111116</c:v>
                </c:pt>
                <c:pt idx="72">
                  <c:v>0.4567901234567901</c:v>
                </c:pt>
                <c:pt idx="73">
                  <c:v>0.35185185185185186</c:v>
                </c:pt>
                <c:pt idx="74">
                  <c:v>0.49068322981366458</c:v>
                </c:pt>
                <c:pt idx="75">
                  <c:v>0.41975308641975306</c:v>
                </c:pt>
                <c:pt idx="76">
                  <c:v>0.4567901234567901</c:v>
                </c:pt>
                <c:pt idx="77">
                  <c:v>0.48765432098765432</c:v>
                </c:pt>
                <c:pt idx="78">
                  <c:v>0.54320987654320985</c:v>
                </c:pt>
                <c:pt idx="79">
                  <c:v>0.47530864197530864</c:v>
                </c:pt>
                <c:pt idx="80">
                  <c:v>0.43827160493827161</c:v>
                </c:pt>
                <c:pt idx="81">
                  <c:v>0.50310559006211175</c:v>
                </c:pt>
                <c:pt idx="82">
                  <c:v>0.59876543209876543</c:v>
                </c:pt>
                <c:pt idx="83">
                  <c:v>0.49382716049382713</c:v>
                </c:pt>
                <c:pt idx="84">
                  <c:v>0.41975308641975306</c:v>
                </c:pt>
                <c:pt idx="85">
                  <c:v>0.5</c:v>
                </c:pt>
                <c:pt idx="86">
                  <c:v>0.40740740740740738</c:v>
                </c:pt>
                <c:pt idx="87">
                  <c:v>0.53086419753086422</c:v>
                </c:pt>
                <c:pt idx="88">
                  <c:v>0.48765432098765432</c:v>
                </c:pt>
                <c:pt idx="89">
                  <c:v>0.43333333333333335</c:v>
                </c:pt>
                <c:pt idx="90">
                  <c:v>0.48333333333333334</c:v>
                </c:pt>
                <c:pt idx="91">
                  <c:v>0.43827160493827161</c:v>
                </c:pt>
                <c:pt idx="92">
                  <c:v>0.45061728395061729</c:v>
                </c:pt>
                <c:pt idx="93">
                  <c:v>0.57407407407407407</c:v>
                </c:pt>
                <c:pt idx="94">
                  <c:v>0.42592592592592593</c:v>
                </c:pt>
                <c:pt idx="95">
                  <c:v>0.41975308641975306</c:v>
                </c:pt>
                <c:pt idx="96">
                  <c:v>0.47530864197530864</c:v>
                </c:pt>
                <c:pt idx="97">
                  <c:v>0.55555555555555558</c:v>
                </c:pt>
                <c:pt idx="98">
                  <c:v>0.46913580246913578</c:v>
                </c:pt>
                <c:pt idx="99">
                  <c:v>0.4</c:v>
                </c:pt>
                <c:pt idx="100">
                  <c:v>0.46296296296296297</c:v>
                </c:pt>
                <c:pt idx="101">
                  <c:v>0.53086419753086422</c:v>
                </c:pt>
                <c:pt idx="102">
                  <c:v>0.52469135802469136</c:v>
                </c:pt>
                <c:pt idx="103">
                  <c:v>0.34567901234567899</c:v>
                </c:pt>
                <c:pt idx="104">
                  <c:v>0.47530864197530864</c:v>
                </c:pt>
                <c:pt idx="105">
                  <c:v>0.4567901234567901</c:v>
                </c:pt>
                <c:pt idx="106">
                  <c:v>0.41358024691358025</c:v>
                </c:pt>
                <c:pt idx="107">
                  <c:v>0.56666666666666665</c:v>
                </c:pt>
                <c:pt idx="108">
                  <c:v>0.41975308641975306</c:v>
                </c:pt>
                <c:pt idx="109">
                  <c:v>0.39506172839506171</c:v>
                </c:pt>
                <c:pt idx="110">
                  <c:v>0.43209876543209874</c:v>
                </c:pt>
                <c:pt idx="111">
                  <c:v>0.4567901234567901</c:v>
                </c:pt>
                <c:pt idx="112">
                  <c:v>0.5</c:v>
                </c:pt>
                <c:pt idx="113">
                  <c:v>0.42592592592592593</c:v>
                </c:pt>
                <c:pt idx="114">
                  <c:v>0.46913580246913578</c:v>
                </c:pt>
                <c:pt idx="115">
                  <c:v>0.45061728395061729</c:v>
                </c:pt>
                <c:pt idx="116">
                  <c:v>0.49382716049382713</c:v>
                </c:pt>
                <c:pt idx="117">
                  <c:v>0.53086419753086422</c:v>
                </c:pt>
                <c:pt idx="118">
                  <c:v>0.59876543209876543</c:v>
                </c:pt>
                <c:pt idx="119">
                  <c:v>0.45061728395061729</c:v>
                </c:pt>
                <c:pt idx="120">
                  <c:v>0.50931677018633537</c:v>
                </c:pt>
                <c:pt idx="121">
                  <c:v>0.44720496894409939</c:v>
                </c:pt>
                <c:pt idx="122">
                  <c:v>0.4567901234567901</c:v>
                </c:pt>
                <c:pt idx="123">
                  <c:v>0.32098765432098764</c:v>
                </c:pt>
                <c:pt idx="124">
                  <c:v>0.54320987654320985</c:v>
                </c:pt>
                <c:pt idx="125">
                  <c:v>0.39130434782608697</c:v>
                </c:pt>
                <c:pt idx="126">
                  <c:v>0.42592592592592593</c:v>
                </c:pt>
                <c:pt idx="127">
                  <c:v>0.59259259259259256</c:v>
                </c:pt>
                <c:pt idx="128">
                  <c:v>0.40123456790123457</c:v>
                </c:pt>
                <c:pt idx="129">
                  <c:v>0.5679012345679012</c:v>
                </c:pt>
                <c:pt idx="130">
                  <c:v>0.43827160493827161</c:v>
                </c:pt>
                <c:pt idx="131">
                  <c:v>0.41975308641975306</c:v>
                </c:pt>
                <c:pt idx="132">
                  <c:v>0.48765432098765432</c:v>
                </c:pt>
                <c:pt idx="133">
                  <c:v>0.59259259259259256</c:v>
                </c:pt>
                <c:pt idx="134">
                  <c:v>0.45061728395061729</c:v>
                </c:pt>
                <c:pt idx="135">
                  <c:v>0.50617283950617287</c:v>
                </c:pt>
                <c:pt idx="136">
                  <c:v>0.34567901234567899</c:v>
                </c:pt>
                <c:pt idx="137">
                  <c:v>0.37037037037037035</c:v>
                </c:pt>
                <c:pt idx="138">
                  <c:v>0.42236024844720499</c:v>
                </c:pt>
                <c:pt idx="139">
                  <c:v>0.41975308641975306</c:v>
                </c:pt>
                <c:pt idx="140">
                  <c:v>0.38271604938271603</c:v>
                </c:pt>
                <c:pt idx="141">
                  <c:v>0.54938271604938271</c:v>
                </c:pt>
                <c:pt idx="142">
                  <c:v>0.40740740740740738</c:v>
                </c:pt>
                <c:pt idx="143">
                  <c:v>0.53086419753086422</c:v>
                </c:pt>
                <c:pt idx="144">
                  <c:v>0.53086419753086422</c:v>
                </c:pt>
                <c:pt idx="145">
                  <c:v>0.36419753086419754</c:v>
                </c:pt>
                <c:pt idx="146">
                  <c:v>0.42592592592592593</c:v>
                </c:pt>
                <c:pt idx="147">
                  <c:v>0.58024691358024694</c:v>
                </c:pt>
                <c:pt idx="148">
                  <c:v>0.60493827160493829</c:v>
                </c:pt>
                <c:pt idx="149">
                  <c:v>0.42592592592592593</c:v>
                </c:pt>
                <c:pt idx="150">
                  <c:v>0.59876543209876543</c:v>
                </c:pt>
                <c:pt idx="151">
                  <c:v>0.54938271604938271</c:v>
                </c:pt>
                <c:pt idx="152">
                  <c:v>0.5864197530864198</c:v>
                </c:pt>
                <c:pt idx="153">
                  <c:v>0.60493827160493829</c:v>
                </c:pt>
                <c:pt idx="154">
                  <c:v>0.48447204968944102</c:v>
                </c:pt>
                <c:pt idx="155">
                  <c:v>0.51851851851851849</c:v>
                </c:pt>
                <c:pt idx="156">
                  <c:v>0.47530864197530864</c:v>
                </c:pt>
                <c:pt idx="157">
                  <c:v>0.41358024691358025</c:v>
                </c:pt>
                <c:pt idx="158">
                  <c:v>0.52469135802469136</c:v>
                </c:pt>
                <c:pt idx="159">
                  <c:v>0.46296296296296297</c:v>
                </c:pt>
                <c:pt idx="160">
                  <c:v>0.41358024691358025</c:v>
                </c:pt>
                <c:pt idx="161">
                  <c:v>0.41975308641975306</c:v>
                </c:pt>
                <c:pt idx="162">
                  <c:v>0.4567901234567901</c:v>
                </c:pt>
                <c:pt idx="163">
                  <c:v>0.40740740740740738</c:v>
                </c:pt>
                <c:pt idx="164">
                  <c:v>0.57407407407407407</c:v>
                </c:pt>
                <c:pt idx="165">
                  <c:v>0.40740740740740738</c:v>
                </c:pt>
                <c:pt idx="166">
                  <c:v>0.59259259259259256</c:v>
                </c:pt>
                <c:pt idx="167">
                  <c:v>0.43209876543209874</c:v>
                </c:pt>
                <c:pt idx="168">
                  <c:v>0.55555555555555558</c:v>
                </c:pt>
                <c:pt idx="169">
                  <c:v>0.43827160493827161</c:v>
                </c:pt>
                <c:pt idx="170">
                  <c:v>0.43827160493827161</c:v>
                </c:pt>
                <c:pt idx="171">
                  <c:v>0.36419753086419754</c:v>
                </c:pt>
                <c:pt idx="172">
                  <c:v>0.40740740740740738</c:v>
                </c:pt>
                <c:pt idx="173">
                  <c:v>0.49382716049382713</c:v>
                </c:pt>
                <c:pt idx="174">
                  <c:v>0.58385093167701863</c:v>
                </c:pt>
                <c:pt idx="175">
                  <c:v>0.4567901234567901</c:v>
                </c:pt>
                <c:pt idx="176">
                  <c:v>0.5714285714285714</c:v>
                </c:pt>
                <c:pt idx="177">
                  <c:v>0.44444444444444442</c:v>
                </c:pt>
                <c:pt idx="178">
                  <c:v>0.51851851851851849</c:v>
                </c:pt>
                <c:pt idx="179">
                  <c:v>0.51234567901234573</c:v>
                </c:pt>
                <c:pt idx="180">
                  <c:v>0.39506172839506171</c:v>
                </c:pt>
                <c:pt idx="181">
                  <c:v>0.57407407407407407</c:v>
                </c:pt>
                <c:pt idx="182">
                  <c:v>0.46296296296296297</c:v>
                </c:pt>
                <c:pt idx="183">
                  <c:v>0.4567901234567901</c:v>
                </c:pt>
                <c:pt idx="184">
                  <c:v>0.40740740740740738</c:v>
                </c:pt>
                <c:pt idx="185">
                  <c:v>0.50617283950617287</c:v>
                </c:pt>
                <c:pt idx="186">
                  <c:v>0.52469135802469136</c:v>
                </c:pt>
                <c:pt idx="187">
                  <c:v>0.58895705521472397</c:v>
                </c:pt>
                <c:pt idx="188">
                  <c:v>0.56172839506172845</c:v>
                </c:pt>
                <c:pt idx="189">
                  <c:v>0.55555555555555558</c:v>
                </c:pt>
                <c:pt idx="190">
                  <c:v>0.47530864197530864</c:v>
                </c:pt>
                <c:pt idx="191">
                  <c:v>0.55555555555555558</c:v>
                </c:pt>
                <c:pt idx="192">
                  <c:v>0.41358024691358025</c:v>
                </c:pt>
                <c:pt idx="193">
                  <c:v>0.41358024691358025</c:v>
                </c:pt>
                <c:pt idx="194">
                  <c:v>0.5864197530864198</c:v>
                </c:pt>
                <c:pt idx="195">
                  <c:v>0.3888888888888889</c:v>
                </c:pt>
                <c:pt idx="196">
                  <c:v>0.55000000000000004</c:v>
                </c:pt>
                <c:pt idx="197">
                  <c:v>0.39506172839506171</c:v>
                </c:pt>
                <c:pt idx="198">
                  <c:v>0.51234567901234573</c:v>
                </c:pt>
                <c:pt idx="199">
                  <c:v>0.46913580246913578</c:v>
                </c:pt>
                <c:pt idx="200">
                  <c:v>0.59259259259259256</c:v>
                </c:pt>
                <c:pt idx="201">
                  <c:v>0.57407407407407407</c:v>
                </c:pt>
                <c:pt idx="202">
                  <c:v>0.3888888888888889</c:v>
                </c:pt>
                <c:pt idx="203">
                  <c:v>0.29192546583850931</c:v>
                </c:pt>
                <c:pt idx="204">
                  <c:v>0.50931677018633537</c:v>
                </c:pt>
                <c:pt idx="205">
                  <c:v>0.5679012345679012</c:v>
                </c:pt>
                <c:pt idx="206">
                  <c:v>0.38271604938271603</c:v>
                </c:pt>
                <c:pt idx="207">
                  <c:v>0.48148148148148145</c:v>
                </c:pt>
                <c:pt idx="208">
                  <c:v>0.53703703703703709</c:v>
                </c:pt>
                <c:pt idx="209">
                  <c:v>0.37654320987654322</c:v>
                </c:pt>
                <c:pt idx="210">
                  <c:v>0.45962732919254656</c:v>
                </c:pt>
                <c:pt idx="211">
                  <c:v>0.5</c:v>
                </c:pt>
                <c:pt idx="212">
                  <c:v>0.53086419753086422</c:v>
                </c:pt>
                <c:pt idx="213">
                  <c:v>0.51851851851851849</c:v>
                </c:pt>
                <c:pt idx="214">
                  <c:v>0.48765432098765432</c:v>
                </c:pt>
                <c:pt idx="215">
                  <c:v>0.46913580246913578</c:v>
                </c:pt>
                <c:pt idx="216">
                  <c:v>0.53086419753086422</c:v>
                </c:pt>
                <c:pt idx="217">
                  <c:v>0.52469135802469136</c:v>
                </c:pt>
                <c:pt idx="218">
                  <c:v>0.55555555555555558</c:v>
                </c:pt>
                <c:pt idx="219">
                  <c:v>0.48148148148148145</c:v>
                </c:pt>
                <c:pt idx="220">
                  <c:v>0.54320987654320985</c:v>
                </c:pt>
                <c:pt idx="221">
                  <c:v>0.59876543209876543</c:v>
                </c:pt>
                <c:pt idx="222">
                  <c:v>0.41358024691358025</c:v>
                </c:pt>
                <c:pt idx="223">
                  <c:v>0.52469135802469136</c:v>
                </c:pt>
                <c:pt idx="224">
                  <c:v>0.55555555555555558</c:v>
                </c:pt>
                <c:pt idx="225">
                  <c:v>0.45061728395061729</c:v>
                </c:pt>
                <c:pt idx="226">
                  <c:v>0.53086419753086422</c:v>
                </c:pt>
                <c:pt idx="227">
                  <c:v>0.71666666666666667</c:v>
                </c:pt>
                <c:pt idx="228">
                  <c:v>0.54320987654320985</c:v>
                </c:pt>
                <c:pt idx="229">
                  <c:v>0.41358024691358025</c:v>
                </c:pt>
                <c:pt idx="230">
                  <c:v>0.53086419753086422</c:v>
                </c:pt>
                <c:pt idx="231">
                  <c:v>0.62345679012345678</c:v>
                </c:pt>
                <c:pt idx="232">
                  <c:v>0.46913580246913578</c:v>
                </c:pt>
                <c:pt idx="233">
                  <c:v>0.5864197530864198</c:v>
                </c:pt>
                <c:pt idx="234">
                  <c:v>0.51234567901234573</c:v>
                </c:pt>
                <c:pt idx="235">
                  <c:v>0.33950617283950618</c:v>
                </c:pt>
                <c:pt idx="236">
                  <c:v>0.48765432098765432</c:v>
                </c:pt>
                <c:pt idx="237">
                  <c:v>0.48148148148148145</c:v>
                </c:pt>
                <c:pt idx="238">
                  <c:v>0.46296296296296297</c:v>
                </c:pt>
                <c:pt idx="239">
                  <c:v>0.50617283950617287</c:v>
                </c:pt>
                <c:pt idx="240">
                  <c:v>0.48148148148148145</c:v>
                </c:pt>
                <c:pt idx="241">
                  <c:v>0.55555555555555558</c:v>
                </c:pt>
                <c:pt idx="242">
                  <c:v>0.35802469135802467</c:v>
                </c:pt>
                <c:pt idx="243">
                  <c:v>0.29012345679012347</c:v>
                </c:pt>
                <c:pt idx="244">
                  <c:v>0.53086419753086422</c:v>
                </c:pt>
                <c:pt idx="245">
                  <c:v>0.39506172839506171</c:v>
                </c:pt>
                <c:pt idx="246">
                  <c:v>0.4567901234567901</c:v>
                </c:pt>
                <c:pt idx="247">
                  <c:v>0.61728395061728392</c:v>
                </c:pt>
                <c:pt idx="248">
                  <c:v>0.62962962962962965</c:v>
                </c:pt>
                <c:pt idx="249">
                  <c:v>0.25308641975308643</c:v>
                </c:pt>
                <c:pt idx="250">
                  <c:v>0.59876543209876543</c:v>
                </c:pt>
                <c:pt idx="251">
                  <c:v>0.40740740740740738</c:v>
                </c:pt>
                <c:pt idx="252">
                  <c:v>0.54320987654320985</c:v>
                </c:pt>
                <c:pt idx="253">
                  <c:v>0.54938271604938271</c:v>
                </c:pt>
                <c:pt idx="254">
                  <c:v>0.58024691358024694</c:v>
                </c:pt>
                <c:pt idx="255">
                  <c:v>0.43827160493827161</c:v>
                </c:pt>
                <c:pt idx="256">
                  <c:v>0.55828220858895705</c:v>
                </c:pt>
                <c:pt idx="257">
                  <c:v>0.57407407407407407</c:v>
                </c:pt>
                <c:pt idx="258">
                  <c:v>0.57407407407407407</c:v>
                </c:pt>
                <c:pt idx="259">
                  <c:v>0.62345679012345678</c:v>
                </c:pt>
                <c:pt idx="260">
                  <c:v>0.53703703703703709</c:v>
                </c:pt>
                <c:pt idx="261">
                  <c:v>0.5864197530864198</c:v>
                </c:pt>
                <c:pt idx="262">
                  <c:v>0.41975308641975306</c:v>
                </c:pt>
                <c:pt idx="263">
                  <c:v>0.46913580246913578</c:v>
                </c:pt>
                <c:pt idx="264">
                  <c:v>0.57407407407407407</c:v>
                </c:pt>
                <c:pt idx="265">
                  <c:v>0.48148148148148145</c:v>
                </c:pt>
                <c:pt idx="266">
                  <c:v>0.5</c:v>
                </c:pt>
                <c:pt idx="267">
                  <c:v>0.3888888888888889</c:v>
                </c:pt>
                <c:pt idx="268">
                  <c:v>0.50617283950617287</c:v>
                </c:pt>
                <c:pt idx="269">
                  <c:v>0.51234567901234573</c:v>
                </c:pt>
                <c:pt idx="270">
                  <c:v>0.48148148148148145</c:v>
                </c:pt>
                <c:pt idx="271">
                  <c:v>0.52469135802469136</c:v>
                </c:pt>
                <c:pt idx="272">
                  <c:v>0.47530864197530864</c:v>
                </c:pt>
                <c:pt idx="273">
                  <c:v>0.56172839506172845</c:v>
                </c:pt>
                <c:pt idx="274">
                  <c:v>0.5864197530864198</c:v>
                </c:pt>
                <c:pt idx="275">
                  <c:v>0.59259259259259256</c:v>
                </c:pt>
                <c:pt idx="276">
                  <c:v>0.43209876543209874</c:v>
                </c:pt>
                <c:pt idx="277">
                  <c:v>0.54320987654320985</c:v>
                </c:pt>
                <c:pt idx="278">
                  <c:v>0.59876543209876543</c:v>
                </c:pt>
                <c:pt idx="279">
                  <c:v>0.55828220858895705</c:v>
                </c:pt>
                <c:pt idx="280">
                  <c:v>0.43827160493827161</c:v>
                </c:pt>
                <c:pt idx="281">
                  <c:v>0.41975308641975306</c:v>
                </c:pt>
                <c:pt idx="282">
                  <c:v>0.40123456790123457</c:v>
                </c:pt>
                <c:pt idx="283">
                  <c:v>0.51234567901234573</c:v>
                </c:pt>
                <c:pt idx="284">
                  <c:v>0.37654320987654322</c:v>
                </c:pt>
                <c:pt idx="285">
                  <c:v>0.53086419753086422</c:v>
                </c:pt>
                <c:pt idx="286">
                  <c:v>0.53086419753086422</c:v>
                </c:pt>
                <c:pt idx="287">
                  <c:v>0.53086419753086422</c:v>
                </c:pt>
                <c:pt idx="288">
                  <c:v>0.53703703703703709</c:v>
                </c:pt>
                <c:pt idx="289">
                  <c:v>0.52469135802469136</c:v>
                </c:pt>
                <c:pt idx="290">
                  <c:v>0.49382716049382713</c:v>
                </c:pt>
                <c:pt idx="291">
                  <c:v>0.54938271604938271</c:v>
                </c:pt>
                <c:pt idx="292">
                  <c:v>0.53086419753086422</c:v>
                </c:pt>
                <c:pt idx="293">
                  <c:v>0.41975308641975306</c:v>
                </c:pt>
                <c:pt idx="294">
                  <c:v>0.56172839506172845</c:v>
                </c:pt>
                <c:pt idx="295">
                  <c:v>0.47530864197530864</c:v>
                </c:pt>
                <c:pt idx="296">
                  <c:v>0.48148148148148145</c:v>
                </c:pt>
                <c:pt idx="297">
                  <c:v>0.4567901234567901</c:v>
                </c:pt>
                <c:pt idx="298">
                  <c:v>0.45061728395061729</c:v>
                </c:pt>
                <c:pt idx="299">
                  <c:v>0.54658385093167705</c:v>
                </c:pt>
                <c:pt idx="300">
                  <c:v>0.55555555555555558</c:v>
                </c:pt>
                <c:pt idx="301">
                  <c:v>0.43827160493827161</c:v>
                </c:pt>
                <c:pt idx="302">
                  <c:v>0.54938271604938271</c:v>
                </c:pt>
                <c:pt idx="303">
                  <c:v>0.57407407407407407</c:v>
                </c:pt>
                <c:pt idx="304">
                  <c:v>0.43827160493827161</c:v>
                </c:pt>
                <c:pt idx="305">
                  <c:v>0.53703703703703709</c:v>
                </c:pt>
                <c:pt idx="306">
                  <c:v>0.54938271604938271</c:v>
                </c:pt>
                <c:pt idx="307">
                  <c:v>0.57407407407407407</c:v>
                </c:pt>
                <c:pt idx="308">
                  <c:v>0.44444444444444442</c:v>
                </c:pt>
                <c:pt idx="309">
                  <c:v>0.5</c:v>
                </c:pt>
                <c:pt idx="310">
                  <c:v>0.54938271604938271</c:v>
                </c:pt>
                <c:pt idx="311">
                  <c:v>0.54320987654320985</c:v>
                </c:pt>
                <c:pt idx="312">
                  <c:v>0.48148148148148145</c:v>
                </c:pt>
                <c:pt idx="313">
                  <c:v>0.5</c:v>
                </c:pt>
                <c:pt idx="314">
                  <c:v>0.45962732919254656</c:v>
                </c:pt>
                <c:pt idx="315">
                  <c:v>0.54320987654320985</c:v>
                </c:pt>
                <c:pt idx="316">
                  <c:v>0.37654320987654322</c:v>
                </c:pt>
                <c:pt idx="317">
                  <c:v>0.45061728395061729</c:v>
                </c:pt>
                <c:pt idx="318">
                  <c:v>0.63580246913580252</c:v>
                </c:pt>
                <c:pt idx="319">
                  <c:v>0.60493827160493829</c:v>
                </c:pt>
                <c:pt idx="320">
                  <c:v>0.51234567901234573</c:v>
                </c:pt>
                <c:pt idx="321">
                  <c:v>0.49382716049382713</c:v>
                </c:pt>
                <c:pt idx="322">
                  <c:v>0.66049382716049387</c:v>
                </c:pt>
                <c:pt idx="323">
                  <c:v>0.62962962962962965</c:v>
                </c:pt>
                <c:pt idx="324">
                  <c:v>0.43827160493827161</c:v>
                </c:pt>
                <c:pt idx="325">
                  <c:v>0.55555555555555558</c:v>
                </c:pt>
                <c:pt idx="326">
                  <c:v>0.57407407407407407</c:v>
                </c:pt>
                <c:pt idx="327">
                  <c:v>0.36419753086419754</c:v>
                </c:pt>
                <c:pt idx="328">
                  <c:v>0.66049382716049387</c:v>
                </c:pt>
                <c:pt idx="329">
                  <c:v>0.59876543209876543</c:v>
                </c:pt>
                <c:pt idx="330">
                  <c:v>0.5679012345679012</c:v>
                </c:pt>
                <c:pt idx="331">
                  <c:v>0.55555555555555558</c:v>
                </c:pt>
                <c:pt idx="332">
                  <c:v>0.3888888888888889</c:v>
                </c:pt>
                <c:pt idx="333">
                  <c:v>0.57407407407407407</c:v>
                </c:pt>
                <c:pt idx="334">
                  <c:v>0.54938271604938271</c:v>
                </c:pt>
                <c:pt idx="335">
                  <c:v>0.42592592592592593</c:v>
                </c:pt>
                <c:pt idx="336">
                  <c:v>0.56172839506172845</c:v>
                </c:pt>
                <c:pt idx="337">
                  <c:v>0.49382716049382713</c:v>
                </c:pt>
                <c:pt idx="338">
                  <c:v>0.46296296296296297</c:v>
                </c:pt>
                <c:pt idx="339">
                  <c:v>0.4567901234567901</c:v>
                </c:pt>
                <c:pt idx="340">
                  <c:v>0.45061728395061729</c:v>
                </c:pt>
                <c:pt idx="341">
                  <c:v>0.46913580246913578</c:v>
                </c:pt>
                <c:pt idx="342">
                  <c:v>0.51234567901234573</c:v>
                </c:pt>
                <c:pt idx="343">
                  <c:v>0.5679012345679012</c:v>
                </c:pt>
                <c:pt idx="344">
                  <c:v>0.62345679012345678</c:v>
                </c:pt>
                <c:pt idx="345">
                  <c:v>0.45061728395061729</c:v>
                </c:pt>
                <c:pt idx="346">
                  <c:v>0.5</c:v>
                </c:pt>
                <c:pt idx="347">
                  <c:v>0.47530864197530864</c:v>
                </c:pt>
                <c:pt idx="348">
                  <c:v>0.53703703703703709</c:v>
                </c:pt>
                <c:pt idx="349">
                  <c:v>0.48765432098765432</c:v>
                </c:pt>
                <c:pt idx="350">
                  <c:v>0.61728395061728392</c:v>
                </c:pt>
                <c:pt idx="351">
                  <c:v>0.51851851851851849</c:v>
                </c:pt>
                <c:pt idx="352">
                  <c:v>0.48148148148148145</c:v>
                </c:pt>
                <c:pt idx="353">
                  <c:v>0.50617283950617287</c:v>
                </c:pt>
                <c:pt idx="354">
                  <c:v>0.59876543209876543</c:v>
                </c:pt>
                <c:pt idx="355">
                  <c:v>0.47530864197530864</c:v>
                </c:pt>
                <c:pt idx="356">
                  <c:v>0.48148148148148145</c:v>
                </c:pt>
                <c:pt idx="357">
                  <c:v>0.65432098765432101</c:v>
                </c:pt>
                <c:pt idx="358">
                  <c:v>0.5679012345679012</c:v>
                </c:pt>
                <c:pt idx="359">
                  <c:v>0.63975155279503104</c:v>
                </c:pt>
                <c:pt idx="360">
                  <c:v>0.48765432098765432</c:v>
                </c:pt>
                <c:pt idx="361">
                  <c:v>0.39506172839506171</c:v>
                </c:pt>
                <c:pt idx="362">
                  <c:v>0.39506172839506171</c:v>
                </c:pt>
                <c:pt idx="363">
                  <c:v>0.5</c:v>
                </c:pt>
                <c:pt idx="364">
                  <c:v>0.51234567901234573</c:v>
                </c:pt>
                <c:pt idx="365">
                  <c:v>0.50617283950617287</c:v>
                </c:pt>
                <c:pt idx="366">
                  <c:v>0.5864197530864198</c:v>
                </c:pt>
                <c:pt idx="367">
                  <c:v>0.58282208588957052</c:v>
                </c:pt>
                <c:pt idx="368">
                  <c:v>0.56441717791411039</c:v>
                </c:pt>
                <c:pt idx="369">
                  <c:v>0.53416149068322982</c:v>
                </c:pt>
                <c:pt idx="370">
                  <c:v>0.47530864197530864</c:v>
                </c:pt>
                <c:pt idx="371">
                  <c:v>0.49382716049382713</c:v>
                </c:pt>
                <c:pt idx="372">
                  <c:v>0.5</c:v>
                </c:pt>
                <c:pt idx="373">
                  <c:v>0.5679012345679012</c:v>
                </c:pt>
                <c:pt idx="374">
                  <c:v>0.64197530864197527</c:v>
                </c:pt>
                <c:pt idx="375">
                  <c:v>0.45061728395061729</c:v>
                </c:pt>
                <c:pt idx="376">
                  <c:v>0.65432098765432101</c:v>
                </c:pt>
                <c:pt idx="377">
                  <c:v>0.57407407407407407</c:v>
                </c:pt>
                <c:pt idx="378">
                  <c:v>0.56172839506172845</c:v>
                </c:pt>
                <c:pt idx="379">
                  <c:v>0.57407407407407407</c:v>
                </c:pt>
                <c:pt idx="380">
                  <c:v>0.59876543209876543</c:v>
                </c:pt>
                <c:pt idx="381">
                  <c:v>0.48148148148148145</c:v>
                </c:pt>
                <c:pt idx="382">
                  <c:v>0.51851851851851849</c:v>
                </c:pt>
                <c:pt idx="383">
                  <c:v>0.54938271604938271</c:v>
                </c:pt>
                <c:pt idx="384">
                  <c:v>0.4567901234567901</c:v>
                </c:pt>
                <c:pt idx="385">
                  <c:v>0.51851851851851849</c:v>
                </c:pt>
                <c:pt idx="386">
                  <c:v>0.53703703703703709</c:v>
                </c:pt>
                <c:pt idx="387">
                  <c:v>0.51851851851851849</c:v>
                </c:pt>
                <c:pt idx="388">
                  <c:v>0.63580246913580252</c:v>
                </c:pt>
                <c:pt idx="389">
                  <c:v>0.54938271604938271</c:v>
                </c:pt>
                <c:pt idx="390">
                  <c:v>0.48148148148148145</c:v>
                </c:pt>
                <c:pt idx="391">
                  <c:v>0.5864197530864198</c:v>
                </c:pt>
                <c:pt idx="392">
                  <c:v>0.66666666666666663</c:v>
                </c:pt>
                <c:pt idx="393">
                  <c:v>0.45061728395061729</c:v>
                </c:pt>
                <c:pt idx="394">
                  <c:v>0.51851851851851849</c:v>
                </c:pt>
                <c:pt idx="395">
                  <c:v>0.51234567901234573</c:v>
                </c:pt>
                <c:pt idx="396">
                  <c:v>0.52469135802469136</c:v>
                </c:pt>
                <c:pt idx="397">
                  <c:v>0.54938271604938271</c:v>
                </c:pt>
                <c:pt idx="398">
                  <c:v>0.5679012345679012</c:v>
                </c:pt>
                <c:pt idx="399">
                  <c:v>0.55555555555555558</c:v>
                </c:pt>
                <c:pt idx="400">
                  <c:v>0.60493827160493829</c:v>
                </c:pt>
                <c:pt idx="401">
                  <c:v>0.61728395061728392</c:v>
                </c:pt>
                <c:pt idx="402">
                  <c:v>0.58024691358024694</c:v>
                </c:pt>
                <c:pt idx="403">
                  <c:v>0.53703703703703709</c:v>
                </c:pt>
                <c:pt idx="404">
                  <c:v>0.55555555555555558</c:v>
                </c:pt>
                <c:pt idx="405">
                  <c:v>0.5864197530864198</c:v>
                </c:pt>
                <c:pt idx="406">
                  <c:v>0.55555555555555558</c:v>
                </c:pt>
                <c:pt idx="407">
                  <c:v>0.61111111111111116</c:v>
                </c:pt>
                <c:pt idx="408">
                  <c:v>0.50617283950617287</c:v>
                </c:pt>
                <c:pt idx="409">
                  <c:v>0.54658385093167705</c:v>
                </c:pt>
                <c:pt idx="410">
                  <c:v>0.64197530864197527</c:v>
                </c:pt>
                <c:pt idx="411">
                  <c:v>0.62345679012345678</c:v>
                </c:pt>
                <c:pt idx="412">
                  <c:v>0.56172839506172845</c:v>
                </c:pt>
                <c:pt idx="413">
                  <c:v>0.65432098765432101</c:v>
                </c:pt>
                <c:pt idx="414">
                  <c:v>0.68518518518518523</c:v>
                </c:pt>
                <c:pt idx="415">
                  <c:v>0.50617283950617287</c:v>
                </c:pt>
                <c:pt idx="416">
                  <c:v>0.5679012345679012</c:v>
                </c:pt>
                <c:pt idx="417">
                  <c:v>0.58024691358024694</c:v>
                </c:pt>
                <c:pt idx="418">
                  <c:v>0.54938271604938271</c:v>
                </c:pt>
                <c:pt idx="419">
                  <c:v>0.46296296296296297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61-41CF-95C4-3CC30B1B0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977631"/>
        <c:axId val="1712979071"/>
      </c:scatterChart>
      <c:valAx>
        <c:axId val="171297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_ ;_-[$$-409]* \-#,##0.0\ ;_-[$$-409]* &quot;-&quot;?_ ;_-@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12979071"/>
        <c:crossesAt val="0"/>
        <c:crossBetween val="midCat"/>
      </c:valAx>
      <c:valAx>
        <c:axId val="171297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12977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739140</xdr:colOff>
      <xdr:row>0</xdr:row>
      <xdr:rowOff>110490</xdr:rowOff>
    </xdr:from>
    <xdr:to>
      <xdr:col>9</xdr:col>
      <xdr:colOff>1043940</xdr:colOff>
      <xdr:row>15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CC7766-9B62-0E40-47B2-00D833BB3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575310</xdr:colOff>
      <xdr:row>18</xdr:row>
      <xdr:rowOff>49530</xdr:rowOff>
    </xdr:from>
    <xdr:to>
      <xdr:col>10</xdr:col>
      <xdr:colOff>891540</xdr:colOff>
      <xdr:row>42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C62628-587B-8A6E-C924-E46F01DCE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704850</xdr:colOff>
      <xdr:row>47</xdr:row>
      <xdr:rowOff>72390</xdr:rowOff>
    </xdr:from>
    <xdr:to>
      <xdr:col>9</xdr:col>
      <xdr:colOff>186690</xdr:colOff>
      <xdr:row>62</xdr:row>
      <xdr:rowOff>72390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FD677AD-95FF-4E9E-C7EC-5EEF6E960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3</xdr:row>
      <xdr:rowOff>3810</xdr:rowOff>
    </xdr:from>
    <xdr:to>
      <xdr:col>12</xdr:col>
      <xdr:colOff>209550</xdr:colOff>
      <xdr:row>18</xdr:row>
      <xdr:rowOff>3810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647F9A2-D11D-862F-9A94-A36D9EFFC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" refreshedDate="46077.568127893515" createdVersion="8" refreshedVersion="8" minRefreshableVersion="3" recordCount="420" xr:uid="{8D242670-62BD-47BB-9A6E-C03A2469883C}">
  <cacheSource type="worksheet">
    <worksheetSource name="mlb_payrolls"/>
  </cacheSource>
  <cacheFields count="22">
    <cacheField name="Team" numFmtId="0">
      <sharedItems/>
    </cacheField>
    <cacheField name="Team Name" numFmtId="0">
      <sharedItems count="30">
        <s v="Baltimore Orioles"/>
        <s v="Pittsburgh Pirates"/>
        <s v="Tampa Bay Rays"/>
        <s v="Houston Astros"/>
        <s v="Miami Marlins"/>
        <s v="Kansas City Royals"/>
        <s v="Oakland Athletics"/>
        <s v="Cleveland Guardians"/>
        <s v="Milwaukee Brewers"/>
        <s v="Detroit Tigers"/>
        <s v="San Diego Padres"/>
        <s v="Seattle Mariners"/>
        <s v="Chicago White Sox"/>
        <s v="Toronto Blue Jays"/>
        <s v="Cincinnati Reds"/>
        <s v="Texas Rangers"/>
        <s v="Minnesota Twins"/>
        <s v="Atlanta Braves"/>
        <s v="Arizona Diamondbacks"/>
        <s v="Los Angeles Angels"/>
        <s v="Colorado Rockies"/>
        <s v="St. Louis Cardinals"/>
        <s v="San Francisco Giants"/>
        <s v="Philadelphia Phillies"/>
        <s v="Washington Nationals"/>
        <s v="New York Mets"/>
        <s v="Boston Red Sox"/>
        <s v="Chicago Cubs"/>
        <s v="New York Yankees"/>
        <s v="Los Angeles Dodgers"/>
      </sharedItems>
    </cacheField>
    <cacheField name="Year" numFmtId="0">
      <sharedItems containsSemiMixedTypes="0" containsString="0" containsNumber="1" containsInteger="1" minValue="2011" maxValue="2024" count="14">
        <n v="2020"/>
        <n v="2013"/>
        <n v="2021"/>
        <n v="2022"/>
        <n v="2011"/>
        <n v="2014"/>
        <n v="2012"/>
        <n v="2024"/>
        <n v="2016"/>
        <n v="2023"/>
        <n v="2019"/>
        <n v="2017"/>
        <n v="2018"/>
        <n v="2015"/>
      </sharedItems>
    </cacheField>
    <cacheField name="Average Age" numFmtId="0">
      <sharedItems containsSemiMixedTypes="0" containsString="0" containsNumber="1" minValue="25.3" maxValue="30.9" count="48">
        <n v="27"/>
        <n v="27.4"/>
        <n v="27.9"/>
        <n v="25.3"/>
        <n v="28.2"/>
        <n v="26.9"/>
        <n v="26.3"/>
        <n v="29.3"/>
        <n v="27.8"/>
        <n v="26.8"/>
        <n v="26.7"/>
        <n v="27.1"/>
        <n v="27.7"/>
        <n v="26.6"/>
        <n v="26.1"/>
        <n v="27.3"/>
        <n v="27.6"/>
        <n v="28.4"/>
        <n v="26"/>
        <n v="29.5"/>
        <n v="27.2"/>
        <n v="29.1"/>
        <n v="26.5"/>
        <n v="27.5"/>
        <n v="28.5"/>
        <n v="28"/>
        <n v="28.1"/>
        <n v="25.6"/>
        <n v="28.6"/>
        <n v="26.4"/>
        <n v="29"/>
        <n v="26.2"/>
        <n v="28.3"/>
        <n v="28.9"/>
        <n v="28.8"/>
        <n v="30"/>
        <n v="25.7"/>
        <n v="28.7"/>
        <n v="25.5"/>
        <n v="29.4"/>
        <n v="29.6"/>
        <n v="29.7"/>
        <n v="29.9"/>
        <n v="29.2"/>
        <n v="30.4"/>
        <n v="29.8"/>
        <n v="30.9"/>
        <n v="30.1"/>
      </sharedItems>
    </cacheField>
    <cacheField name="Total Payroll Allocations" numFmtId="164">
      <sharedItems containsSemiMixedTypes="0" containsString="0" containsNumber="1" containsInteger="1" minValue="23478635" maxValue="341673777" count="420">
        <n v="23478635"/>
        <n v="25343022"/>
        <n v="28290689"/>
        <n v="28727913"/>
        <n v="33901920"/>
        <n v="34934696"/>
        <n v="36209554"/>
        <n v="36720178"/>
        <n v="39299107"/>
        <n v="41434086"/>
        <n v="42421870"/>
        <n v="43164880"/>
        <n v="44888388"/>
        <n v="45386925"/>
        <n v="47976645"/>
        <n v="48018810"/>
        <n v="48443900"/>
        <n v="50559679"/>
        <n v="50563459"/>
        <n v="50670534"/>
        <n v="51679490"/>
        <n v="52486804"/>
        <n v="53665251"/>
        <n v="54237801"/>
        <n v="54356609"/>
        <n v="54547239"/>
        <n v="55147001"/>
        <n v="55960593"/>
        <n v="56098581"/>
        <n v="56184032"/>
        <n v="58088180"/>
        <n v="59679689"/>
        <n v="60470192"/>
        <n v="60552671"/>
        <n v="61118682"/>
        <n v="62132581"/>
        <n v="62161191"/>
        <n v="62243227"/>
        <n v="62408549"/>
        <n v="63831125"/>
        <n v="64178722"/>
        <n v="64297970"/>
        <n v="64576736"/>
        <n v="65006851"/>
        <n v="65598752"/>
        <n v="66477492"/>
        <n v="67040893"/>
        <n v="67055517"/>
        <n v="67649701"/>
        <n v="67808533"/>
        <n v="68144135"/>
        <n v="68706439"/>
        <n v="68810167"/>
        <n v="70104552"/>
        <n v="70344235"/>
        <n v="71480984"/>
        <n v="71839808"/>
        <n v="72176474"/>
        <n v="72600703"/>
        <n v="72861614"/>
        <n v="72990525"/>
        <n v="73241552"/>
        <n v="73246343"/>
        <n v="73328658"/>
        <n v="73408817"/>
        <n v="73477080"/>
        <n v="73491604"/>
        <n v="73543547"/>
        <n v="74574723"/>
        <n v="74670975"/>
        <n v="74697333"/>
        <n v="74948362"/>
        <n v="75241048"/>
        <n v="75596271"/>
        <n v="76365306"/>
        <n v="76577243"/>
        <n v="76741788"/>
        <n v="76781801"/>
        <n v="76802804"/>
        <n v="76821046"/>
        <n v="76921678"/>
        <n v="77404413"/>
        <n v="77673582"/>
        <n v="77811205"/>
        <n v="80491339"/>
        <n v="80711013"/>
        <n v="81300970"/>
        <n v="81341546"/>
        <n v="81920546"/>
        <n v="81945598"/>
        <n v="82655105"/>
        <n v="82720022"/>
        <n v="82897934"/>
        <n v="82932168"/>
        <n v="83109288"/>
        <n v="83435559"/>
        <n v="83698945"/>
        <n v="83822113"/>
        <n v="84050989"/>
        <n v="84210390"/>
        <n v="84289928"/>
        <n v="84398434"/>
        <n v="84481929"/>
        <n v="84598388"/>
        <n v="85001967"/>
        <n v="85293905"/>
        <n v="85495238"/>
        <n v="86012838"/>
        <n v="87226437"/>
        <n v="87232529"/>
        <n v="87494478"/>
        <n v="88221045"/>
        <n v="88316478"/>
        <n v="88454422"/>
        <n v="88911627"/>
        <n v="89297302"/>
        <n v="89707422"/>
        <n v="89767668"/>
        <n v="89901498"/>
        <n v="90364741"/>
        <n v="91025861"/>
        <n v="91371201"/>
        <n v="91595545"/>
        <n v="91632929"/>
        <n v="91638412"/>
        <n v="91665500"/>
        <n v="91751399"/>
        <n v="92277138"/>
        <n v="92613711"/>
        <n v="93008897"/>
        <n v="93378663"/>
        <n v="93852267"/>
        <n v="94478037"/>
        <n v="94947950"/>
        <n v="95551627"/>
        <n v="95573417"/>
        <n v="95596347"/>
        <n v="95788819"/>
        <n v="96019377"/>
        <n v="96436003"/>
        <n v="96590305"/>
        <n v="96603300"/>
        <n v="96772365"/>
        <n v="96961614"/>
        <n v="97167073"/>
        <n v="97244457"/>
        <n v="97874482"/>
        <n v="97928056"/>
        <n v="98044359"/>
        <n v="98120191"/>
        <n v="98644531"/>
        <n v="98696230"/>
        <n v="99377415"/>
        <n v="99435606"/>
        <n v="99518136"/>
        <n v="99828742"/>
        <n v="100254855"/>
        <n v="100305768"/>
        <n v="100430869"/>
        <n v="100503030"/>
        <n v="100829148"/>
        <n v="101277051"/>
        <n v="101300814"/>
        <n v="101760815"/>
        <n v="102619475"/>
        <n v="103152899"/>
        <n v="103326721"/>
        <n v="103699790"/>
        <n v="103804640"/>
        <n v="103898809"/>
        <n v="103945407"/>
        <n v="103973003"/>
        <n v="104020808"/>
        <n v="104297471"/>
        <n v="104971268"/>
        <n v="104988166"/>
        <n v="105224582"/>
        <n v="105268575"/>
        <n v="105435809"/>
        <n v="106231818"/>
        <n v="106343190"/>
        <n v="106838693"/>
        <n v="106902280"/>
        <n v="107915272"/>
        <n v="107939507"/>
        <n v="108777046"/>
        <n v="108841055"/>
        <n v="108982016"/>
        <n v="109335494"/>
        <n v="110398927"/>
        <n v="110765599"/>
        <n v="110826407"/>
        <n v="110913266"/>
        <n v="111086139"/>
        <n v="111521015"/>
        <n v="111777595"/>
        <n v="111939081"/>
        <n v="112333097"/>
        <n v="113095795"/>
        <n v="113351318"/>
        <n v="113562943"/>
        <n v="114223379"/>
        <n v="114445627"/>
        <n v="114631137"/>
        <n v="115174517"/>
        <n v="115413345"/>
        <n v="115417321"/>
        <n v="115509520"/>
        <n v="115534174"/>
        <n v="115861526"/>
        <n v="116208966"/>
        <n v="116400870"/>
        <n v="116584094"/>
        <n v="116777354"/>
        <n v="116865707"/>
        <n v="116925487"/>
        <n v="117202717"/>
        <n v="118672377"/>
        <n v="118919465"/>
        <n v="119344514"/>
        <n v="119957765"/>
        <n v="120192638"/>
        <n v="120525018"/>
        <n v="120842831"/>
        <n v="121340470"/>
        <n v="121417939"/>
        <n v="122566873"/>
        <n v="124719080"/>
        <n v="124766903"/>
        <n v="124805583"/>
        <n v="125242452"/>
        <n v="125256003"/>
        <n v="126045473"/>
        <n v="126529835"/>
        <n v="126587447"/>
        <n v="126672438"/>
        <n v="127263027"/>
        <n v="127538766"/>
        <n v="128691569"/>
        <n v="129080051"/>
        <n v="129715686"/>
        <n v="129739447"/>
        <n v="129944821"/>
        <n v="130413607"/>
        <n v="130769325"/>
        <n v="130995349"/>
        <n v="131771168"/>
        <n v="132178951"/>
        <n v="132258928"/>
        <n v="132497547"/>
        <n v="132993810"/>
        <n v="135112588"/>
        <n v="135285607"/>
        <n v="135889019"/>
        <n v="137043205"/>
        <n v="137666584"/>
        <n v="137937146"/>
        <n v="138309664"/>
        <n v="138312903"/>
        <n v="138344211"/>
        <n v="139499341"/>
        <n v="139583852"/>
        <n v="140012218"/>
        <n v="140280186"/>
        <n v="140406825"/>
        <n v="141542644"/>
        <n v="141587358"/>
        <n v="141722639"/>
        <n v="141724597"/>
        <n v="141812172"/>
        <n v="141966320"/>
        <n v="142198162"/>
        <n v="142245841"/>
        <n v="142604703"/>
        <n v="143021690"/>
        <n v="143278577"/>
        <n v="143315158"/>
        <n v="143782286"/>
        <n v="143947963"/>
        <n v="143968544"/>
        <n v="144037170"/>
        <n v="144388309"/>
        <n v="144415187"/>
        <n v="145256085"/>
        <n v="146100965"/>
        <n v="146538234"/>
        <n v="146648559"/>
        <n v="147003780"/>
        <n v="147744060"/>
        <n v="147930632"/>
        <n v="148227822"/>
        <n v="148385479"/>
        <n v="149355870"/>
        <n v="150037446"/>
        <n v="150140253"/>
        <n v="150187987"/>
        <n v="150363491"/>
        <n v="150580017"/>
        <n v="150946147"/>
        <n v="151393755"/>
        <n v="151469994"/>
        <n v="153793028"/>
        <n v="154148832"/>
        <n v="155378325"/>
        <n v="155403513"/>
        <n v="155999708"/>
        <n v="157168625"/>
        <n v="157332966"/>
        <n v="157999465"/>
        <n v="158976752"/>
        <n v="160243827"/>
        <n v="160336782"/>
        <n v="160741810"/>
        <n v="161717317"/>
        <n v="162160921"/>
        <n v="162334311"/>
        <n v="162863836"/>
        <n v="163536898"/>
        <n v="163724216"/>
        <n v="165244781"/>
        <n v="165655095"/>
        <n v="166161209"/>
        <n v="167138259"/>
        <n v="170018182"/>
        <n v="170095758"/>
        <n v="170490761"/>
        <n v="170855090"/>
        <n v="171026607"/>
        <n v="171191545"/>
        <n v="172084264"/>
        <n v="172092536"/>
        <n v="172143106"/>
        <n v="172189987"/>
        <n v="172307808"/>
        <n v="172806829"/>
        <n v="173216551"/>
        <n v="173544423"/>
        <n v="173717599"/>
        <n v="174129785"/>
        <n v="174290373"/>
        <n v="175061605"/>
        <n v="175617487"/>
        <n v="175932759"/>
        <n v="177001966"/>
        <n v="177138888"/>
        <n v="177727811"/>
        <n v="177862491"/>
        <n v="178054110"/>
        <n v="178834344"/>
        <n v="179767346"/>
        <n v="180098151"/>
        <n v="180163630"/>
        <n v="180926796"/>
        <n v="181382609"/>
        <n v="182238854"/>
        <n v="182749560"/>
        <n v="183481478"/>
        <n v="183791796"/>
        <n v="186718068"/>
        <n v="186772494"/>
        <n v="187398165"/>
        <n v="188028874"/>
        <n v="188406809"/>
        <n v="188537445"/>
        <n v="189409358"/>
        <n v="190513223"/>
        <n v="194222042"/>
        <n v="194259933"/>
        <n v="199582045"/>
        <n v="200179285"/>
        <n v="201189189"/>
        <n v="201967381"/>
        <n v="203205326"/>
        <n v="203311013"/>
        <n v="204689131"/>
        <n v="205665348"/>
        <n v="207000814"/>
        <n v="207758836"/>
        <n v="209044502"/>
        <n v="209872508"/>
        <n v="210950685"/>
        <n v="211812131"/>
        <n v="212512317"/>
        <n v="214630885"/>
        <n v="218402819"/>
        <n v="220743376"/>
        <n v="221242659"/>
        <n v="221580085"/>
        <n v="223019037"/>
        <n v="224511694"/>
        <n v="225545408"/>
        <n v="225589742"/>
        <n v="227398860"/>
        <n v="227884276"/>
        <n v="229166880"/>
        <n v="229567975"/>
        <n v="234518126"/>
        <n v="236433901"/>
        <n v="236694375"/>
        <n v="237107748"/>
        <n v="240240117"/>
        <n v="240278296"/>
        <n v="241557818"/>
        <n v="244484097"/>
        <n v="245419295"/>
        <n v="246299605"/>
        <n v="251332754"/>
        <n v="252957200"/>
        <n v="253450531"/>
        <n v="255271371"/>
        <n v="259311393"/>
        <n v="264342506"/>
        <n v="264470494"/>
        <n v="265343390"/>
        <n v="270381426"/>
        <n v="278651150"/>
        <n v="301735080"/>
        <n v="308574607"/>
        <n v="314748899"/>
        <n v="341673777"/>
      </sharedItems>
    </cacheField>
    <cacheField name="Active 26-Man" numFmtId="164">
      <sharedItems containsSemiMixedTypes="0" containsString="0" containsNumber="1" containsInteger="1" minValue="10252278" maxValue="260231924"/>
    </cacheField>
    <cacheField name="Injured" numFmtId="164">
      <sharedItems containsSemiMixedTypes="0" containsString="0" containsNumber="1" containsInteger="1" minValue="0" maxValue="147537321"/>
    </cacheField>
    <cacheField name="Retained" numFmtId="164">
      <sharedItems containsSemiMixedTypes="0" containsString="0" containsNumber="1" containsInteger="1" minValue="0" maxValue="158207683"/>
    </cacheField>
    <cacheField name="Buried" numFmtId="164">
      <sharedItems containsSemiMixedTypes="0" containsString="0" containsNumber="1" containsInteger="1" minValue="0" maxValue="20875101"/>
    </cacheField>
    <cacheField name="Wins" numFmtId="0">
      <sharedItems containsSemiMixedTypes="0" containsString="0" containsNumber="1" containsInteger="1" minValue="19" maxValue="111"/>
    </cacheField>
    <cacheField name="Losses" numFmtId="0">
      <sharedItems containsSemiMixedTypes="0" containsString="0" containsNumber="1" containsInteger="1" minValue="17" maxValue="121"/>
    </cacheField>
    <cacheField name="Postseason" numFmtId="0">
      <sharedItems count="3">
        <s v="No Playoffs"/>
        <s v="Division Winner"/>
        <s v="Wildcard"/>
      </sharedItems>
    </cacheField>
    <cacheField name="Games" numFmtId="0">
      <sharedItems containsSemiMixedTypes="0" containsString="0" containsNumber="1" containsInteger="1" minValue="58" maxValue="163"/>
    </cacheField>
    <cacheField name="Win %" numFmtId="9">
      <sharedItems containsSemiMixedTypes="0" containsString="0" containsNumber="1" minValue="0.25308641975308643" maxValue="0.71666666666666667" count="97">
        <n v="0.41666666666666669"/>
        <n v="0.31666666666666665"/>
        <n v="0.66666666666666663"/>
        <n v="0.31481481481481483"/>
        <n v="0.51666666666666672"/>
        <n v="0.43333333333333335"/>
        <n v="0.38271604938271603"/>
        <n v="0.6"/>
        <n v="0.58333333333333337"/>
        <n v="0.48333333333333334"/>
        <n v="0.32098765432098764"/>
        <n v="0.39655172413793105"/>
        <n v="0.51234567901234573"/>
        <n v="0.56172839506172845"/>
        <n v="0.44444444444444442"/>
        <n v="0.43827160493827161"/>
        <n v="0.37037037037037035"/>
        <n v="0.47530864197530864"/>
        <n v="0.45"/>
        <n v="0.49382716049382713"/>
        <n v="0.43209876543209874"/>
        <n v="0.53333333333333333"/>
        <n v="0.37654320987654322"/>
        <n v="0.33950617283950618"/>
        <n v="0.36666666666666664"/>
        <n v="0.41358024691358025"/>
        <n v="0.58024691358024694"/>
        <n v="0.48765432098765432"/>
        <n v="0.42592592592592593"/>
        <n v="0.45061728395061729"/>
        <n v="0.30864197530864196"/>
        <n v="0.41975308641975306"/>
        <n v="0.46913580246913578"/>
        <n v="0.59259259259259256"/>
        <n v="0.53086419753086422"/>
        <n v="0.5679012345679012"/>
        <n v="0.55555555555555558"/>
        <n v="0.62345679012345678"/>
        <n v="0.61728395061728392"/>
        <n v="0.56441717791411039"/>
        <n v="0.6166666666666667"/>
        <n v="0.51724137931034486"/>
        <n v="0.33333333333333331"/>
        <n v="0.46296296296296297"/>
        <n v="0.5"/>
        <n v="0.46666666666666667"/>
        <n v="0.49689440993788819"/>
        <n v="0.61111111111111116"/>
        <n v="0.4567901234567901"/>
        <n v="0.35185185185185186"/>
        <n v="0.49068322981366458"/>
        <n v="0.54320987654320985"/>
        <n v="0.50310559006211175"/>
        <n v="0.59876543209876543"/>
        <n v="0.40740740740740738"/>
        <n v="0.57407407407407407"/>
        <n v="0.4"/>
        <n v="0.52469135802469136"/>
        <n v="0.34567901234567899"/>
        <n v="0.56666666666666665"/>
        <n v="0.39506172839506171"/>
        <n v="0.50931677018633537"/>
        <n v="0.44720496894409939"/>
        <n v="0.39130434782608697"/>
        <n v="0.40123456790123457"/>
        <n v="0.50617283950617287"/>
        <n v="0.42236024844720499"/>
        <n v="0.54938271604938271"/>
        <n v="0.36419753086419754"/>
        <n v="0.60493827160493829"/>
        <n v="0.5864197530864198"/>
        <n v="0.48447204968944102"/>
        <n v="0.51851851851851849"/>
        <n v="0.58385093167701863"/>
        <n v="0.5714285714285714"/>
        <n v="0.58895705521472397"/>
        <n v="0.3888888888888889"/>
        <n v="0.55000000000000004"/>
        <n v="0.29192546583850931"/>
        <n v="0.48148148148148145"/>
        <n v="0.53703703703703709"/>
        <n v="0.45962732919254656"/>
        <n v="0.71666666666666667"/>
        <n v="0.35802469135802467"/>
        <n v="0.29012345679012347"/>
        <n v="0.62962962962962965"/>
        <n v="0.25308641975308643"/>
        <n v="0.55828220858895705"/>
        <n v="0.54658385093167705"/>
        <n v="0.63580246913580252"/>
        <n v="0.66049382716049387"/>
        <n v="0.65432098765432101"/>
        <n v="0.63975155279503104"/>
        <n v="0.58282208588957052"/>
        <n v="0.53416149068322982"/>
        <n v="0.64197530864197527"/>
        <n v="0.68518518518518523"/>
      </sharedItems>
    </cacheField>
    <cacheField name="Cost per Win" numFmtId="0">
      <sharedItems containsSemiMixedTypes="0" containsString="0" containsNumber="1" minValue="498757.41758241761" maxValue="4555650.3600000003"/>
    </cacheField>
    <cacheField name="Payroll Parts Sum" numFmtId="164">
      <sharedItems containsSemiMixedTypes="0" containsString="0" containsNumber="1" containsInteger="1" minValue="23182339" maxValue="341673777"/>
    </cacheField>
    <cacheField name="Payroll Diff" numFmtId="164">
      <sharedItems containsSemiMixedTypes="0" containsString="0" containsNumber="1" containsInteger="1" minValue="-9444444" maxValue="33188462"/>
    </cacheField>
    <cacheField name="% Active" numFmtId="9">
      <sharedItems containsSemiMixedTypes="0" containsString="0" containsNumber="1" minValue="0.11878413677231892" maxValue="1"/>
    </cacheField>
    <cacheField name="% Injured" numFmtId="9">
      <sharedItems containsSemiMixedTypes="0" containsString="0" containsNumber="1" minValue="0" maxValue="0.64742211963760066"/>
    </cacheField>
    <cacheField name="% Retained" numFmtId="9">
      <sharedItems containsSemiMixedTypes="0" containsString="0" containsNumber="1" minValue="0" maxValue="0.66553868941608585"/>
    </cacheField>
    <cacheField name="% Buried" numFmtId="9">
      <sharedItems containsSemiMixedTypes="0" containsString="0" containsNumber="1" minValue="0" maxValue="0.18667403155358858"/>
    </cacheField>
    <cacheField name="Playoff Flag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s v="BAL"/>
    <x v="0"/>
    <x v="0"/>
    <x v="0"/>
    <x v="0"/>
    <n v="10252278"/>
    <n v="11102531"/>
    <n v="1264595"/>
    <n v="562935"/>
    <n v="25"/>
    <n v="35"/>
    <x v="0"/>
    <n v="60"/>
    <x v="0"/>
    <n v="939145.4"/>
    <n v="23182339"/>
    <n v="296296"/>
    <n v="0.43666414167603868"/>
    <n v="0.47287804423042479"/>
    <n v="5.3861521336312779E-2"/>
    <n v="2.3976479041477497E-2"/>
    <x v="0"/>
  </r>
  <r>
    <s v="PIT"/>
    <x v="1"/>
    <x v="0"/>
    <x v="1"/>
    <x v="1"/>
    <n v="12738842"/>
    <n v="8467312"/>
    <n v="2437508"/>
    <n v="199360"/>
    <n v="19"/>
    <n v="41"/>
    <x v="0"/>
    <n v="60"/>
    <x v="1"/>
    <n v="1333843.2631578948"/>
    <n v="23843022"/>
    <n v="1500000"/>
    <n v="0.50265678655055424"/>
    <n v="0.33410822119003802"/>
    <n v="9.6180637021109794E-2"/>
    <n v="7.8664651753054555E-3"/>
    <x v="0"/>
  </r>
  <r>
    <s v="TB"/>
    <x v="2"/>
    <x v="0"/>
    <x v="2"/>
    <x v="2"/>
    <n v="21769463"/>
    <n v="1958020"/>
    <n v="2086951"/>
    <n v="2476255"/>
    <n v="40"/>
    <n v="20"/>
    <x v="1"/>
    <n v="60"/>
    <x v="2"/>
    <n v="707267.22499999998"/>
    <n v="28290689"/>
    <n v="0"/>
    <n v="0.76949214633832352"/>
    <n v="6.921075693844006E-2"/>
    <n v="7.3768122084265961E-2"/>
    <n v="8.7528974638970442E-2"/>
    <x v="1"/>
  </r>
  <r>
    <s v="HOU"/>
    <x v="3"/>
    <x v="1"/>
    <x v="3"/>
    <x v="3"/>
    <n v="12078450"/>
    <n v="0"/>
    <n v="15562961"/>
    <n v="1086502"/>
    <n v="51"/>
    <n v="111"/>
    <x v="0"/>
    <n v="162"/>
    <x v="3"/>
    <n v="563292.4117647059"/>
    <n v="28727913"/>
    <n v="0"/>
    <n v="0.42044300259472384"/>
    <n v="0"/>
    <n v="0.54173656819414628"/>
    <n v="3.7820429211129956E-2"/>
    <x v="0"/>
  </r>
  <r>
    <s v="MIA"/>
    <x v="4"/>
    <x v="0"/>
    <x v="4"/>
    <x v="4"/>
    <n v="17388599"/>
    <n v="2897429"/>
    <n v="12335262"/>
    <n v="1280630"/>
    <n v="31"/>
    <n v="29"/>
    <x v="2"/>
    <n v="60"/>
    <x v="4"/>
    <n v="1093610.3225806451"/>
    <n v="33901920"/>
    <n v="0"/>
    <n v="0.51290897388702472"/>
    <n v="8.5465041507973585E-2"/>
    <n v="0.36385142788373048"/>
    <n v="3.7774556721271245E-2"/>
    <x v="1"/>
  </r>
  <r>
    <s v="KC"/>
    <x v="5"/>
    <x v="0"/>
    <x v="5"/>
    <x v="5"/>
    <n v="25320148"/>
    <n v="7094043"/>
    <n v="1464114"/>
    <n v="1056391"/>
    <n v="26"/>
    <n v="34"/>
    <x v="0"/>
    <n v="60"/>
    <x v="5"/>
    <n v="1343642.1538461538"/>
    <n v="34934696"/>
    <n v="0"/>
    <n v="0.72478512479398705"/>
    <n v="0.20306582888255276"/>
    <n v="4.1910025494425372E-2"/>
    <n v="3.0239020829034836E-2"/>
    <x v="0"/>
  </r>
  <r>
    <s v="MIA"/>
    <x v="4"/>
    <x v="1"/>
    <x v="6"/>
    <x v="6"/>
    <n v="27969339"/>
    <n v="0"/>
    <n v="6896666"/>
    <n v="543549"/>
    <n v="62"/>
    <n v="100"/>
    <x v="0"/>
    <n v="162"/>
    <x v="6"/>
    <n v="584025.06451612909"/>
    <n v="35409554"/>
    <n v="800000"/>
    <n v="0.77242981230865204"/>
    <n v="0"/>
    <n v="0.19046536723429403"/>
    <n v="1.5011203949101388E-2"/>
    <x v="0"/>
  </r>
  <r>
    <s v="OAK"/>
    <x v="6"/>
    <x v="0"/>
    <x v="7"/>
    <x v="7"/>
    <n v="35283875"/>
    <n v="902038"/>
    <n v="113148"/>
    <n v="421117"/>
    <n v="36"/>
    <n v="24"/>
    <x v="1"/>
    <n v="60"/>
    <x v="7"/>
    <n v="1020004.9444444445"/>
    <n v="36720178"/>
    <n v="0"/>
    <n v="0.96088518416223367"/>
    <n v="2.4565185931288241E-2"/>
    <n v="3.0813576121553657E-3"/>
    <n v="1.1468272294322757E-2"/>
    <x v="1"/>
  </r>
  <r>
    <s v="CLE"/>
    <x v="7"/>
    <x v="0"/>
    <x v="8"/>
    <x v="8"/>
    <n v="34471070"/>
    <n v="209630"/>
    <n v="3269241"/>
    <n v="1139981"/>
    <n v="35"/>
    <n v="25"/>
    <x v="2"/>
    <n v="60"/>
    <x v="8"/>
    <n v="1122831.6285714286"/>
    <n v="39089922"/>
    <n v="209185"/>
    <n v="0.87714639419160334"/>
    <n v="5.3342178996586363E-3"/>
    <n v="8.3188684160176968E-2"/>
    <n v="2.9007809261416551E-2"/>
    <x v="1"/>
  </r>
  <r>
    <s v="MIL"/>
    <x v="8"/>
    <x v="0"/>
    <x v="2"/>
    <x v="9"/>
    <n v="28464819"/>
    <n v="1203704"/>
    <n v="4484938"/>
    <n v="1354699"/>
    <n v="29"/>
    <n v="31"/>
    <x v="0"/>
    <n v="60"/>
    <x v="9"/>
    <n v="1428761.5862068965"/>
    <n v="35508160"/>
    <n v="5925926"/>
    <n v="0.68699039240300852"/>
    <n v="2.9051057141697298E-2"/>
    <n v="0.10824271591269082"/>
    <n v="3.2695278954626872E-2"/>
    <x v="0"/>
  </r>
  <r>
    <s v="BAL"/>
    <x v="0"/>
    <x v="2"/>
    <x v="9"/>
    <x v="10"/>
    <n v="13838690"/>
    <n v="7682535"/>
    <n v="19045619"/>
    <n v="1855026"/>
    <n v="52"/>
    <n v="110"/>
    <x v="0"/>
    <n v="162"/>
    <x v="10"/>
    <n v="815805.19230769225"/>
    <n v="42421870"/>
    <n v="0"/>
    <n v="0.32621593531826865"/>
    <n v="0.1810984522841638"/>
    <n v="0.44895755420494193"/>
    <n v="4.3728058192625645E-2"/>
    <x v="0"/>
  </r>
  <r>
    <s v="DET"/>
    <x v="9"/>
    <x v="0"/>
    <x v="10"/>
    <x v="11"/>
    <n v="29636694"/>
    <n v="6108631"/>
    <n v="6488226"/>
    <n v="931329"/>
    <n v="23"/>
    <n v="35"/>
    <x v="0"/>
    <n v="58"/>
    <x v="11"/>
    <n v="1876733.9130434783"/>
    <n v="43164880"/>
    <n v="0"/>
    <n v="0.68659275781607643"/>
    <n v="0.14151854470578859"/>
    <n v="0.15031261525573569"/>
    <n v="2.1576082222399321E-2"/>
    <x v="0"/>
  </r>
  <r>
    <s v="BAL"/>
    <x v="0"/>
    <x v="3"/>
    <x v="11"/>
    <x v="12"/>
    <n v="25488146"/>
    <n v="2759974"/>
    <n v="13258460"/>
    <n v="3381808"/>
    <n v="83"/>
    <n v="79"/>
    <x v="0"/>
    <n v="162"/>
    <x v="12"/>
    <n v="540823.95180722896"/>
    <n v="44888388"/>
    <n v="0"/>
    <n v="0.56781156855086889"/>
    <n v="6.1485255384978406E-2"/>
    <n v="0.29536502847908014"/>
    <n v="7.5338147585072554E-2"/>
    <x v="0"/>
  </r>
  <r>
    <s v="TB"/>
    <x v="2"/>
    <x v="4"/>
    <x v="12"/>
    <x v="13"/>
    <n v="45386925"/>
    <n v="0"/>
    <n v="0"/>
    <n v="0"/>
    <n v="91"/>
    <n v="71"/>
    <x v="2"/>
    <n v="162"/>
    <x v="13"/>
    <n v="498757.41758241761"/>
    <n v="45386925"/>
    <n v="0"/>
    <n v="1"/>
    <n v="0"/>
    <n v="0"/>
    <n v="0"/>
    <x v="1"/>
  </r>
  <r>
    <s v="PIT"/>
    <x v="1"/>
    <x v="4"/>
    <x v="5"/>
    <x v="14"/>
    <n v="46168585"/>
    <n v="0"/>
    <n v="1808060"/>
    <n v="0"/>
    <n v="72"/>
    <n v="90"/>
    <x v="0"/>
    <n v="162"/>
    <x v="14"/>
    <n v="666342.29166666663"/>
    <n v="47976645"/>
    <n v="0"/>
    <n v="0.96231374661567104"/>
    <n v="0"/>
    <n v="3.7686253384328981E-2"/>
    <n v="0"/>
    <x v="0"/>
  </r>
  <r>
    <s v="SD"/>
    <x v="10"/>
    <x v="4"/>
    <x v="2"/>
    <x v="15"/>
    <n v="47418810"/>
    <n v="0"/>
    <n v="600000"/>
    <n v="0"/>
    <n v="71"/>
    <n v="91"/>
    <x v="0"/>
    <n v="162"/>
    <x v="15"/>
    <n v="676321.26760563382"/>
    <n v="48018810"/>
    <n v="0"/>
    <n v="0.98750489651867679"/>
    <n v="0"/>
    <n v="1.2495103481323256E-2"/>
    <n v="0"/>
    <x v="0"/>
  </r>
  <r>
    <s v="OAK"/>
    <x v="6"/>
    <x v="3"/>
    <x v="11"/>
    <x v="16"/>
    <n v="15196960"/>
    <n v="6642582"/>
    <n v="22966027"/>
    <n v="3265269"/>
    <n v="60"/>
    <n v="102"/>
    <x v="0"/>
    <n v="162"/>
    <x v="16"/>
    <n v="807398.33333333337"/>
    <n v="48070838"/>
    <n v="373062"/>
    <n v="0.31370224114904044"/>
    <n v="0.13711905936557545"/>
    <n v="0.47407469258255425"/>
    <n v="6.7403099255014559E-2"/>
    <x v="0"/>
  </r>
  <r>
    <s v="MIA"/>
    <x v="4"/>
    <x v="5"/>
    <x v="9"/>
    <x v="17"/>
    <n v="42496784"/>
    <n v="0"/>
    <n v="7939616"/>
    <n v="123279"/>
    <n v="77"/>
    <n v="85"/>
    <x v="0"/>
    <n v="162"/>
    <x v="17"/>
    <n v="656619.20779220783"/>
    <n v="50559679"/>
    <n v="0"/>
    <n v="0.84052717185961567"/>
    <n v="0"/>
    <n v="0.15703454129920405"/>
    <n v="2.4382868411803012E-3"/>
    <x v="0"/>
  </r>
  <r>
    <s v="SEA"/>
    <x v="11"/>
    <x v="0"/>
    <x v="9"/>
    <x v="18"/>
    <n v="25865136"/>
    <n v="3268960"/>
    <n v="30708712"/>
    <n v="165095"/>
    <n v="27"/>
    <n v="33"/>
    <x v="0"/>
    <n v="60"/>
    <x v="18"/>
    <n v="1872720.7037037036"/>
    <n v="60007903"/>
    <n v="-9444444"/>
    <n v="0.5115381050176967"/>
    <n v="6.4650640297373649E-2"/>
    <n v="0.60733012747407178"/>
    <n v="3.2651049446597393E-3"/>
    <x v="0"/>
  </r>
  <r>
    <s v="CLE"/>
    <x v="7"/>
    <x v="2"/>
    <x v="13"/>
    <x v="19"/>
    <n v="35682311"/>
    <n v="1367760"/>
    <n v="11873544"/>
    <n v="1470889"/>
    <n v="80"/>
    <n v="82"/>
    <x v="0"/>
    <n v="162"/>
    <x v="19"/>
    <n v="633381.67500000005"/>
    <n v="50394504"/>
    <n v="276030"/>
    <n v="0.70420238713095074"/>
    <n v="2.6993202795139282E-2"/>
    <n v="0.23432837711953064"/>
    <n v="2.9028488233417866E-2"/>
    <x v="0"/>
  </r>
  <r>
    <s v="HOU"/>
    <x v="3"/>
    <x v="5"/>
    <x v="10"/>
    <x v="20"/>
    <n v="45231726"/>
    <n v="0"/>
    <n v="6051590"/>
    <n v="396174"/>
    <n v="70"/>
    <n v="92"/>
    <x v="0"/>
    <n v="162"/>
    <x v="20"/>
    <n v="738278.42857142852"/>
    <n v="51679490"/>
    <n v="0"/>
    <n v="0.87523553347759431"/>
    <n v="0"/>
    <n v="0.11709848529851978"/>
    <n v="7.6659812238859164E-3"/>
    <x v="0"/>
  </r>
  <r>
    <s v="KC"/>
    <x v="5"/>
    <x v="4"/>
    <x v="14"/>
    <x v="21"/>
    <n v="38687131"/>
    <n v="0"/>
    <n v="12419673"/>
    <n v="1380000"/>
    <n v="71"/>
    <n v="91"/>
    <x v="0"/>
    <n v="162"/>
    <x v="15"/>
    <n v="739250.76056338032"/>
    <n v="52486804"/>
    <n v="0"/>
    <n v="0.73708300090056922"/>
    <n v="0"/>
    <n v="0.23662467617574887"/>
    <n v="2.6292322923681923E-2"/>
    <x v="0"/>
  </r>
  <r>
    <s v="CHW"/>
    <x v="12"/>
    <x v="0"/>
    <x v="15"/>
    <x v="22"/>
    <n v="43034329"/>
    <n v="1819815"/>
    <n v="7812642"/>
    <n v="789761"/>
    <n v="35"/>
    <n v="25"/>
    <x v="2"/>
    <n v="60"/>
    <x v="8"/>
    <n v="1533292.8857142858"/>
    <n v="53456547"/>
    <n v="208704"/>
    <n v="0.801903060138487"/>
    <n v="3.3910490794126724E-2"/>
    <n v="0.14558102038878007"/>
    <n v="1.4716431681275469E-2"/>
    <x v="1"/>
  </r>
  <r>
    <s v="TOR"/>
    <x v="13"/>
    <x v="0"/>
    <x v="16"/>
    <x v="23"/>
    <n v="33467052"/>
    <n v="5114444"/>
    <n v="14667030"/>
    <n v="778905"/>
    <n v="32"/>
    <n v="28"/>
    <x v="0"/>
    <n v="60"/>
    <x v="21"/>
    <n v="1694931.28125"/>
    <n v="54027431"/>
    <n v="210370"/>
    <n v="0.61704293653055731"/>
    <n v="9.4296669586585932E-2"/>
    <n v="0.2704208085427357"/>
    <n v="1.4360925141489419E-2"/>
    <x v="0"/>
  </r>
  <r>
    <s v="PIT"/>
    <x v="1"/>
    <x v="2"/>
    <x v="9"/>
    <x v="24"/>
    <n v="17797841"/>
    <n v="7847255"/>
    <n v="19989602"/>
    <n v="971911"/>
    <n v="61"/>
    <n v="101"/>
    <x v="0"/>
    <n v="162"/>
    <x v="22"/>
    <n v="891091.95081967209"/>
    <n v="46606609"/>
    <n v="7750000"/>
    <n v="0.32742736030498149"/>
    <n v="0.14436616161983173"/>
    <n v="0.36774924646237589"/>
    <n v="1.788027284777827E-2"/>
    <x v="0"/>
  </r>
  <r>
    <s v="HOU"/>
    <x v="3"/>
    <x v="6"/>
    <x v="14"/>
    <x v="25"/>
    <n v="23728500"/>
    <n v="0"/>
    <n v="30818739"/>
    <n v="0"/>
    <n v="55"/>
    <n v="107"/>
    <x v="0"/>
    <n v="162"/>
    <x v="23"/>
    <n v="991767.98181818181"/>
    <n v="54547239"/>
    <n v="0"/>
    <n v="0.43500826870448933"/>
    <n v="0"/>
    <n v="0.56499173129551061"/>
    <n v="0"/>
    <x v="0"/>
  </r>
  <r>
    <s v="CIN"/>
    <x v="14"/>
    <x v="0"/>
    <x v="17"/>
    <x v="26"/>
    <n v="51854326"/>
    <n v="658696"/>
    <n v="1922138"/>
    <n v="711841"/>
    <n v="31"/>
    <n v="29"/>
    <x v="0"/>
    <n v="60"/>
    <x v="4"/>
    <n v="1778935.5161290322"/>
    <n v="55147001"/>
    <n v="0"/>
    <n v="0.94029276406163953"/>
    <n v="1.1944366657399919E-2"/>
    <n v="3.4854805613092177E-2"/>
    <n v="1.2908063667868359E-2"/>
    <x v="0"/>
  </r>
  <r>
    <s v="CLE"/>
    <x v="7"/>
    <x v="4"/>
    <x v="1"/>
    <x v="27"/>
    <n v="55960593"/>
    <n v="0"/>
    <n v="0"/>
    <n v="0"/>
    <n v="80"/>
    <n v="82"/>
    <x v="0"/>
    <n v="162"/>
    <x v="19"/>
    <n v="699507.41249999998"/>
    <n v="55960593"/>
    <n v="0"/>
    <n v="1"/>
    <n v="0"/>
    <n v="0"/>
    <n v="0"/>
    <x v="0"/>
  </r>
  <r>
    <s v="TEX"/>
    <x v="15"/>
    <x v="0"/>
    <x v="9"/>
    <x v="28"/>
    <n v="23101258"/>
    <n v="16905177"/>
    <n v="15338320"/>
    <n v="505066"/>
    <n v="22"/>
    <n v="38"/>
    <x v="0"/>
    <n v="60"/>
    <x v="24"/>
    <n v="2549935.5"/>
    <n v="55849821"/>
    <n v="248760"/>
    <n v="0.41179754618035702"/>
    <n v="0.30134767579950017"/>
    <n v="0.27341725452912974"/>
    <n v="9.0031867294468639E-3"/>
    <x v="0"/>
  </r>
  <r>
    <s v="PIT"/>
    <x v="1"/>
    <x v="3"/>
    <x v="18"/>
    <x v="29"/>
    <n v="30472503"/>
    <n v="8449026"/>
    <n v="13072838"/>
    <n v="4189665"/>
    <n v="62"/>
    <n v="100"/>
    <x v="0"/>
    <n v="162"/>
    <x v="6"/>
    <n v="906194.06451612909"/>
    <n v="56184032"/>
    <n v="0"/>
    <n v="0.54236945828309369"/>
    <n v="0.15038126847144043"/>
    <n v="0.23267888641384799"/>
    <n v="7.457038683161793E-2"/>
    <x v="0"/>
  </r>
  <r>
    <s v="MIA"/>
    <x v="4"/>
    <x v="2"/>
    <x v="11"/>
    <x v="30"/>
    <n v="16304223"/>
    <n v="15489077"/>
    <n v="23940904"/>
    <n v="2353976"/>
    <n v="67"/>
    <n v="95"/>
    <x v="0"/>
    <n v="162"/>
    <x v="25"/>
    <n v="866987.76119402982"/>
    <n v="58088180"/>
    <n v="0"/>
    <n v="0.28068056186301588"/>
    <n v="0.26664765534055296"/>
    <n v="0.41214760042404497"/>
    <n v="4.052418237238626E-2"/>
    <x v="0"/>
  </r>
  <r>
    <s v="MIN"/>
    <x v="16"/>
    <x v="0"/>
    <x v="19"/>
    <x v="31"/>
    <n v="49057558"/>
    <n v="6876058"/>
    <n v="7313300"/>
    <n v="840180"/>
    <n v="36"/>
    <n v="24"/>
    <x v="1"/>
    <n v="60"/>
    <x v="7"/>
    <n v="1657769.138888889"/>
    <n v="64087096"/>
    <n v="-4407407"/>
    <n v="0.82201430372735351"/>
    <n v="0.11521604946701382"/>
    <n v="0.12254252866498684"/>
    <n v="1.4078156472966875E-2"/>
    <x v="1"/>
  </r>
  <r>
    <s v="OAK"/>
    <x v="6"/>
    <x v="6"/>
    <x v="20"/>
    <x v="32"/>
    <n v="56608334"/>
    <n v="0"/>
    <n v="3861858"/>
    <n v="0"/>
    <n v="94"/>
    <n v="68"/>
    <x v="1"/>
    <n v="162"/>
    <x v="26"/>
    <n v="643299.91489361704"/>
    <n v="60470192"/>
    <n v="0"/>
    <n v="0.93613617102456037"/>
    <n v="0"/>
    <n v="6.3863828975439671E-2"/>
    <n v="0"/>
    <x v="1"/>
  </r>
  <r>
    <s v="ATL"/>
    <x v="17"/>
    <x v="0"/>
    <x v="21"/>
    <x v="33"/>
    <n v="50458292"/>
    <n v="7255497"/>
    <n v="1000284"/>
    <n v="838598"/>
    <n v="35"/>
    <n v="25"/>
    <x v="1"/>
    <n v="60"/>
    <x v="8"/>
    <n v="1730076.3142857142"/>
    <n v="59552671"/>
    <n v="1000000"/>
    <n v="0.8332958921002841"/>
    <n v="0.11982125445795777"/>
    <n v="1.6519238267788384E-2"/>
    <n v="1.3849067037852054E-2"/>
    <x v="1"/>
  </r>
  <r>
    <s v="PIT"/>
    <x v="1"/>
    <x v="6"/>
    <x v="4"/>
    <x v="34"/>
    <n v="57932479"/>
    <n v="0"/>
    <n v="3186203"/>
    <n v="0"/>
    <n v="79"/>
    <n v="83"/>
    <x v="0"/>
    <n v="162"/>
    <x v="27"/>
    <n v="773654.20253164554"/>
    <n v="61118682"/>
    <n v="0"/>
    <n v="0.94786859114533917"/>
    <n v="0"/>
    <n v="5.2131408854660839E-2"/>
    <n v="0"/>
    <x v="0"/>
  </r>
  <r>
    <s v="OAK"/>
    <x v="6"/>
    <x v="7"/>
    <x v="22"/>
    <x v="35"/>
    <n v="28956713"/>
    <n v="15581092"/>
    <n v="15557073"/>
    <n v="1763221"/>
    <n v="69"/>
    <n v="93"/>
    <x v="0"/>
    <n v="162"/>
    <x v="28"/>
    <n v="900472.18840579712"/>
    <n v="61858099"/>
    <n v="274482"/>
    <n v="0.4660471613113899"/>
    <n v="0.25077168450478504"/>
    <n v="0.25038510793556124"/>
    <n v="2.8378364001971849E-2"/>
    <x v="0"/>
  </r>
  <r>
    <s v="MIL"/>
    <x v="8"/>
    <x v="8"/>
    <x v="11"/>
    <x v="36"/>
    <n v="49464613"/>
    <n v="2517700"/>
    <n v="8299097"/>
    <n v="1879781"/>
    <n v="73"/>
    <n v="89"/>
    <x v="0"/>
    <n v="162"/>
    <x v="29"/>
    <n v="851523.1643835617"/>
    <n v="62161191"/>
    <n v="0"/>
    <n v="0.79574751069360949"/>
    <n v="4.0502763211213245E-2"/>
    <n v="0.13350929843026979"/>
    <n v="3.0240427664907515E-2"/>
    <x v="0"/>
  </r>
  <r>
    <s v="OAK"/>
    <x v="6"/>
    <x v="9"/>
    <x v="14"/>
    <x v="37"/>
    <n v="31196397"/>
    <n v="7178987"/>
    <n v="16193039"/>
    <n v="7674804"/>
    <n v="50"/>
    <n v="112"/>
    <x v="0"/>
    <n v="162"/>
    <x v="30"/>
    <n v="1244864.54"/>
    <n v="62243227"/>
    <n v="0"/>
    <n v="0.50120147208948529"/>
    <n v="0.11533764147543314"/>
    <n v="0.26015744652827849"/>
    <n v="0.12330343990680304"/>
    <x v="0"/>
  </r>
  <r>
    <s v="TB"/>
    <x v="2"/>
    <x v="8"/>
    <x v="1"/>
    <x v="38"/>
    <n v="36226000"/>
    <n v="5226100"/>
    <n v="20177348"/>
    <n v="779101"/>
    <n v="68"/>
    <n v="94"/>
    <x v="0"/>
    <n v="162"/>
    <x v="31"/>
    <n v="917772.7794117647"/>
    <n v="62408549"/>
    <n v="0"/>
    <n v="0.58046534618197898"/>
    <n v="8.3740129897908702E-2"/>
    <n v="0.32331064130332526"/>
    <n v="1.2483882616787005E-2"/>
    <x v="0"/>
  </r>
  <r>
    <s v="SD"/>
    <x v="10"/>
    <x v="6"/>
    <x v="23"/>
    <x v="39"/>
    <n v="60053625"/>
    <n v="0"/>
    <n v="2550000"/>
    <n v="1227500"/>
    <n v="76"/>
    <n v="86"/>
    <x v="0"/>
    <n v="162"/>
    <x v="32"/>
    <n v="839883.22368421056"/>
    <n v="63831125"/>
    <n v="0"/>
    <n v="0.94082040697230385"/>
    <n v="0"/>
    <n v="3.9949162732131074E-2"/>
    <n v="1.9230430295565055E-2"/>
    <x v="0"/>
  </r>
  <r>
    <s v="TB"/>
    <x v="2"/>
    <x v="10"/>
    <x v="15"/>
    <x v="40"/>
    <n v="54345374"/>
    <n v="644520"/>
    <n v="9084388"/>
    <n v="104440"/>
    <n v="96"/>
    <n v="66"/>
    <x v="2"/>
    <n v="162"/>
    <x v="33"/>
    <n v="668528.35416666663"/>
    <n v="64178722"/>
    <n v="0"/>
    <n v="0.84678180410011905"/>
    <n v="1.0042580779343035E-2"/>
    <n v="0.14154828449217172"/>
    <n v="1.6273306283662052E-3"/>
    <x v="1"/>
  </r>
  <r>
    <s v="ARI"/>
    <x v="18"/>
    <x v="4"/>
    <x v="24"/>
    <x v="41"/>
    <n v="56498519"/>
    <n v="0"/>
    <n v="6899451"/>
    <n v="900000"/>
    <n v="94"/>
    <n v="68"/>
    <x v="1"/>
    <n v="162"/>
    <x v="26"/>
    <n v="684020.95744680846"/>
    <n v="64297970"/>
    <n v="0"/>
    <n v="0.878698332155743"/>
    <n v="0"/>
    <n v="0.10730433635774193"/>
    <n v="1.3997331486515049E-2"/>
    <x v="1"/>
  </r>
  <r>
    <s v="MIL"/>
    <x v="8"/>
    <x v="11"/>
    <x v="25"/>
    <x v="42"/>
    <n v="57578930"/>
    <n v="547000"/>
    <n v="6033614"/>
    <n v="417192"/>
    <n v="86"/>
    <n v="76"/>
    <x v="0"/>
    <n v="162"/>
    <x v="34"/>
    <n v="750892.27906976745"/>
    <n v="64576736"/>
    <n v="0"/>
    <n v="0.89163580519151664"/>
    <n v="8.4705427044191265E-3"/>
    <n v="9.343324506212268E-2"/>
    <n v="6.4604070419415436E-3"/>
    <x v="0"/>
  </r>
  <r>
    <s v="MIA"/>
    <x v="4"/>
    <x v="4"/>
    <x v="20"/>
    <x v="43"/>
    <n v="63006851"/>
    <n v="0"/>
    <n v="2000000"/>
    <n v="0"/>
    <n v="72"/>
    <n v="90"/>
    <x v="0"/>
    <n v="162"/>
    <x v="14"/>
    <n v="902872.9305555555"/>
    <n v="65006851"/>
    <n v="0"/>
    <n v="0.96923401196590797"/>
    <n v="0"/>
    <n v="3.0765988034091977E-2"/>
    <n v="0"/>
    <x v="0"/>
  </r>
  <r>
    <s v="ARI"/>
    <x v="18"/>
    <x v="0"/>
    <x v="26"/>
    <x v="44"/>
    <n v="20283697"/>
    <n v="1589593"/>
    <n v="40016446"/>
    <n v="500312"/>
    <n v="25"/>
    <n v="35"/>
    <x v="0"/>
    <n v="60"/>
    <x v="0"/>
    <n v="2623950.08"/>
    <n v="62390048"/>
    <n v="3208704"/>
    <n v="0.30920858067543722"/>
    <n v="2.4232061609952581E-2"/>
    <n v="0.61001840400866159"/>
    <n v="7.6268524132898138E-3"/>
    <x v="0"/>
  </r>
  <r>
    <s v="CLE"/>
    <x v="7"/>
    <x v="3"/>
    <x v="27"/>
    <x v="45"/>
    <n v="56507878"/>
    <n v="702900"/>
    <n v="4619812"/>
    <n v="4646902"/>
    <n v="92"/>
    <n v="70"/>
    <x v="1"/>
    <n v="162"/>
    <x v="35"/>
    <n v="722581.43478260865"/>
    <n v="66477492"/>
    <n v="0"/>
    <n v="0.85003023278916723"/>
    <n v="1.0573503585243558E-2"/>
    <n v="6.9494378638712787E-2"/>
    <n v="6.9901884986876467E-2"/>
    <x v="1"/>
  </r>
  <r>
    <s v="LAA"/>
    <x v="19"/>
    <x v="0"/>
    <x v="25"/>
    <x v="46"/>
    <n v="56821306"/>
    <n v="509650"/>
    <n v="4356290"/>
    <n v="596339"/>
    <n v="26"/>
    <n v="34"/>
    <x v="0"/>
    <n v="60"/>
    <x v="5"/>
    <n v="2578495.8846153845"/>
    <n v="62283585"/>
    <n v="4757308"/>
    <n v="0.84756189032267215"/>
    <n v="7.6020765415520343E-3"/>
    <n v="6.4979593872653216E-2"/>
    <n v="8.89515299266673E-3"/>
    <x v="0"/>
  </r>
  <r>
    <s v="OAK"/>
    <x v="6"/>
    <x v="1"/>
    <x v="25"/>
    <x v="47"/>
    <n v="65065572"/>
    <n v="0"/>
    <n v="1984590"/>
    <n v="5355"/>
    <n v="96"/>
    <n v="66"/>
    <x v="1"/>
    <n v="162"/>
    <x v="33"/>
    <n v="698494.96875"/>
    <n v="67055517"/>
    <n v="0"/>
    <n v="0.97032391831383535"/>
    <n v="0"/>
    <n v="2.9596222485317653E-2"/>
    <n v="7.9859200846963866E-5"/>
    <x v="1"/>
  </r>
  <r>
    <s v="SD"/>
    <x v="10"/>
    <x v="1"/>
    <x v="23"/>
    <x v="48"/>
    <n v="64220894"/>
    <n v="0"/>
    <n v="3238561"/>
    <n v="190246"/>
    <n v="76"/>
    <n v="86"/>
    <x v="0"/>
    <n v="162"/>
    <x v="32"/>
    <n v="890127.64473684214"/>
    <n v="67649701"/>
    <n v="0"/>
    <n v="0.94931526748359174"/>
    <n v="0"/>
    <n v="4.7872510183008789E-2"/>
    <n v="2.8122223333995225E-3"/>
    <x v="0"/>
  </r>
  <r>
    <s v="COL"/>
    <x v="20"/>
    <x v="0"/>
    <x v="17"/>
    <x v="49"/>
    <n v="23940328"/>
    <n v="17205744"/>
    <n v="30851852"/>
    <n v="958757"/>
    <n v="26"/>
    <n v="34"/>
    <x v="0"/>
    <n v="60"/>
    <x v="5"/>
    <n v="2608020.5"/>
    <n v="72956681"/>
    <n v="-5148148"/>
    <n v="0.35305774864647199"/>
    <n v="0.2537401008218243"/>
    <n v="0.45498480257639551"/>
    <n v="1.4139179209200707E-2"/>
    <x v="0"/>
  </r>
  <r>
    <s v="TB"/>
    <x v="2"/>
    <x v="6"/>
    <x v="28"/>
    <x v="50"/>
    <n v="67844135"/>
    <n v="0"/>
    <n v="300000"/>
    <n v="0"/>
    <n v="90"/>
    <n v="72"/>
    <x v="0"/>
    <n v="162"/>
    <x v="36"/>
    <n v="757157.0555555555"/>
    <n v="68144135"/>
    <n v="0"/>
    <n v="0.99559756683388823"/>
    <n v="0"/>
    <n v="4.4024331661118013E-3"/>
    <n v="0"/>
    <x v="0"/>
  </r>
  <r>
    <s v="BAL"/>
    <x v="0"/>
    <x v="9"/>
    <x v="25"/>
    <x v="51"/>
    <n v="53159734"/>
    <n v="3179476"/>
    <n v="9861733"/>
    <n v="2505496"/>
    <n v="101"/>
    <n v="61"/>
    <x v="1"/>
    <n v="162"/>
    <x v="37"/>
    <n v="680261.77227722772"/>
    <n v="68706439"/>
    <n v="0"/>
    <n v="0.77372273652546597"/>
    <n v="4.6276244938265536E-2"/>
    <n v="0.14353433453304137"/>
    <n v="3.6466684003227119E-2"/>
    <x v="1"/>
  </r>
  <r>
    <s v="TB"/>
    <x v="2"/>
    <x v="12"/>
    <x v="22"/>
    <x v="52"/>
    <n v="25668988"/>
    <n v="2213706"/>
    <n v="35944023"/>
    <n v="4983450"/>
    <n v="90"/>
    <n v="72"/>
    <x v="0"/>
    <n v="162"/>
    <x v="36"/>
    <n v="764557.41111111105"/>
    <n v="68810167"/>
    <n v="0"/>
    <n v="0.37304062930119031"/>
    <n v="3.2171205165073935E-2"/>
    <n v="0.52236500167191868"/>
    <n v="7.2423163861817103E-2"/>
    <x v="0"/>
  </r>
  <r>
    <s v="TB"/>
    <x v="2"/>
    <x v="2"/>
    <x v="26"/>
    <x v="53"/>
    <n v="44288651"/>
    <n v="18352159"/>
    <n v="6218025"/>
    <n v="1245717"/>
    <n v="100"/>
    <n v="62"/>
    <x v="1"/>
    <n v="162"/>
    <x v="38"/>
    <n v="701045.52"/>
    <n v="70104552"/>
    <n v="0"/>
    <n v="0.63175143034934456"/>
    <n v="0.26178270135725279"/>
    <n v="8.8696451551391414E-2"/>
    <n v="1.7769416742011275E-2"/>
    <x v="1"/>
  </r>
  <r>
    <s v="KC"/>
    <x v="5"/>
    <x v="6"/>
    <x v="29"/>
    <x v="54"/>
    <n v="66385000"/>
    <n v="0"/>
    <n v="2579235"/>
    <n v="1380000"/>
    <n v="72"/>
    <n v="90"/>
    <x v="0"/>
    <n v="162"/>
    <x v="14"/>
    <n v="977003.26388888888"/>
    <n v="70344235"/>
    <n v="0"/>
    <n v="0.94371628321780743"/>
    <n v="0"/>
    <n v="3.6665904462533427E-2"/>
    <n v="1.9617812319659172E-2"/>
    <x v="0"/>
  </r>
  <r>
    <s v="PIT"/>
    <x v="1"/>
    <x v="1"/>
    <x v="4"/>
    <x v="55"/>
    <n v="67762905"/>
    <n v="0"/>
    <n v="832370"/>
    <n v="2885709"/>
    <n v="94"/>
    <n v="68"/>
    <x v="2"/>
    <n v="162"/>
    <x v="26"/>
    <n v="760436"/>
    <n v="71480984"/>
    <n v="0"/>
    <n v="0.94798506131364957"/>
    <n v="0"/>
    <n v="1.164463544598099E-2"/>
    <n v="4.0370303240369491E-2"/>
    <x v="1"/>
  </r>
  <r>
    <s v="CHW"/>
    <x v="12"/>
    <x v="12"/>
    <x v="9"/>
    <x v="56"/>
    <n v="54911542"/>
    <n v="5920130"/>
    <n v="7681442"/>
    <n v="976694"/>
    <n v="62"/>
    <n v="100"/>
    <x v="0"/>
    <n v="162"/>
    <x v="6"/>
    <n v="1158706.5806451612"/>
    <n v="69489808"/>
    <n v="2350000"/>
    <n v="0.7643609236817559"/>
    <n v="8.2407375030846414E-2"/>
    <n v="0.10692458977618649"/>
    <n v="1.3595442794056466E-2"/>
    <x v="0"/>
  </r>
  <r>
    <s v="PIT"/>
    <x v="1"/>
    <x v="10"/>
    <x v="9"/>
    <x v="57"/>
    <n v="27674108"/>
    <n v="19571272"/>
    <n v="20053143"/>
    <n v="377951"/>
    <n v="69"/>
    <n v="93"/>
    <x v="0"/>
    <n v="162"/>
    <x v="28"/>
    <n v="1046035.8550724637"/>
    <n v="67676474"/>
    <n v="4500000"/>
    <n v="0.38342283110144726"/>
    <n v="0.27115860494930799"/>
    <n v="0.27783489395727479"/>
    <n v="5.2364846750479945E-3"/>
    <x v="0"/>
  </r>
  <r>
    <s v="TB"/>
    <x v="2"/>
    <x v="1"/>
    <x v="21"/>
    <x v="58"/>
    <n v="70029393"/>
    <n v="270436"/>
    <n v="2250000"/>
    <n v="50874"/>
    <n v="92"/>
    <n v="71"/>
    <x v="2"/>
    <n v="163"/>
    <x v="39"/>
    <n v="789138.07608695654"/>
    <n v="72600703"/>
    <n v="0"/>
    <n v="0.96458284983824472"/>
    <n v="3.7249777044169943E-3"/>
    <n v="3.099143544105902E-2"/>
    <n v="7.0073701627930516E-4"/>
    <x v="1"/>
  </r>
  <r>
    <s v="SD"/>
    <x v="10"/>
    <x v="0"/>
    <x v="17"/>
    <x v="59"/>
    <n v="54293958"/>
    <n v="3531020"/>
    <n v="14471215"/>
    <n v="565421"/>
    <n v="37"/>
    <n v="23"/>
    <x v="2"/>
    <n v="60"/>
    <x v="40"/>
    <n v="1969232.8108108109"/>
    <n v="72861614"/>
    <n v="0"/>
    <n v="0.74516545845388493"/>
    <n v="4.8462006345343929E-2"/>
    <n v="0.19861233104169226"/>
    <n v="7.7602041590788809E-3"/>
    <x v="1"/>
  </r>
  <r>
    <s v="MIA"/>
    <x v="4"/>
    <x v="13"/>
    <x v="11"/>
    <x v="60"/>
    <n v="28171144"/>
    <n v="15751830"/>
    <n v="19528890"/>
    <n v="138661"/>
    <n v="71"/>
    <n v="91"/>
    <x v="0"/>
    <n v="162"/>
    <x v="15"/>
    <n v="1028035.5633802817"/>
    <n v="63590525"/>
    <n v="9400000"/>
    <n v="0.38595617718875158"/>
    <n v="0.21580650365235762"/>
    <n v="0.26755376810894288"/>
    <n v="1.8997123256751475E-3"/>
    <x v="0"/>
  </r>
  <r>
    <s v="TB"/>
    <x v="2"/>
    <x v="13"/>
    <x v="11"/>
    <x v="61"/>
    <n v="52092948"/>
    <n v="8440963"/>
    <n v="12164597"/>
    <n v="543044"/>
    <n v="80"/>
    <n v="82"/>
    <x v="0"/>
    <n v="162"/>
    <x v="19"/>
    <n v="915519.4"/>
    <n v="73241552"/>
    <n v="0"/>
    <n v="0.71124855464559245"/>
    <n v="0.11524828146732882"/>
    <n v="0.16608873880771943"/>
    <n v="7.4144250793593235E-3"/>
    <x v="0"/>
  </r>
  <r>
    <s v="STL"/>
    <x v="21"/>
    <x v="0"/>
    <x v="25"/>
    <x v="62"/>
    <n v="51757860"/>
    <n v="12343763"/>
    <n v="12000000"/>
    <n v="1087757"/>
    <n v="30"/>
    <n v="28"/>
    <x v="0"/>
    <n v="58"/>
    <x v="41"/>
    <n v="2441544.7666666666"/>
    <n v="77189380"/>
    <n v="-3943037"/>
    <n v="0.70662722369634212"/>
    <n v="0.16852394937997109"/>
    <n v="0.16383070483122961"/>
    <n v="1.4850666332925318E-2"/>
    <x v="0"/>
  </r>
  <r>
    <s v="BAL"/>
    <x v="0"/>
    <x v="10"/>
    <x v="22"/>
    <x v="63"/>
    <n v="52804601"/>
    <n v="9822272"/>
    <n v="8886476"/>
    <n v="1815309"/>
    <n v="54"/>
    <n v="108"/>
    <x v="0"/>
    <n v="162"/>
    <x v="42"/>
    <n v="1357938.111111111"/>
    <n v="73328658"/>
    <n v="0"/>
    <n v="0.72010865110882027"/>
    <n v="0.13394861256018076"/>
    <n v="0.12118694440037345"/>
    <n v="2.4755791930625541E-2"/>
    <x v="0"/>
  </r>
  <r>
    <s v="SF"/>
    <x v="22"/>
    <x v="0"/>
    <x v="30"/>
    <x v="64"/>
    <n v="40562214"/>
    <n v="1428006"/>
    <n v="13996618"/>
    <n v="8718276"/>
    <n v="29"/>
    <n v="31"/>
    <x v="0"/>
    <n v="60"/>
    <x v="9"/>
    <n v="2531338.5172413792"/>
    <n v="64705114"/>
    <n v="8703703"/>
    <n v="0.55255234531296149"/>
    <n v="1.9452785896277282E-2"/>
    <n v="0.19066671514404054"/>
    <n v="0.11876333601725253"/>
    <x v="0"/>
  </r>
  <r>
    <s v="OAK"/>
    <x v="6"/>
    <x v="11"/>
    <x v="20"/>
    <x v="65"/>
    <n v="26723817"/>
    <n v="1437784"/>
    <n v="39189018"/>
    <n v="1126461"/>
    <n v="75"/>
    <n v="87"/>
    <x v="0"/>
    <n v="162"/>
    <x v="43"/>
    <n v="979694.4"/>
    <n v="68477080"/>
    <n v="5000000"/>
    <n v="0.36370276282073266"/>
    <n v="1.9567789030266309E-2"/>
    <n v="0.53335023656356517"/>
    <n v="1.5330780700593981E-2"/>
    <x v="0"/>
  </r>
  <r>
    <s v="TOR"/>
    <x v="13"/>
    <x v="4"/>
    <x v="31"/>
    <x v="66"/>
    <n v="56304461"/>
    <n v="0"/>
    <n v="17187143"/>
    <n v="0"/>
    <n v="81"/>
    <n v="81"/>
    <x v="0"/>
    <n v="162"/>
    <x v="44"/>
    <n v="907303.75308641978"/>
    <n v="73491604"/>
    <n v="0"/>
    <n v="0.76613460498154318"/>
    <n v="0"/>
    <n v="0.2338653950184568"/>
    <n v="0"/>
    <x v="0"/>
  </r>
  <r>
    <s v="PHI"/>
    <x v="23"/>
    <x v="0"/>
    <x v="32"/>
    <x v="67"/>
    <n v="57105401"/>
    <n v="13236891"/>
    <n v="2662073"/>
    <n v="539182"/>
    <n v="28"/>
    <n v="32"/>
    <x v="0"/>
    <n v="60"/>
    <x v="45"/>
    <n v="2626555.25"/>
    <n v="73543547"/>
    <n v="0"/>
    <n v="0.77648418290186627"/>
    <n v="0.17998711702061365"/>
    <n v="3.6197234272641217E-2"/>
    <n v="7.3314658048788429E-3"/>
    <x v="0"/>
  </r>
  <r>
    <s v="WSH"/>
    <x v="24"/>
    <x v="4"/>
    <x v="1"/>
    <x v="68"/>
    <n v="72574723"/>
    <n v="0"/>
    <n v="0"/>
    <n v="2000000"/>
    <n v="80"/>
    <n v="81"/>
    <x v="0"/>
    <n v="161"/>
    <x v="46"/>
    <n v="932184.03749999998"/>
    <n v="74574723"/>
    <n v="0"/>
    <n v="0.97318126143090067"/>
    <n v="0"/>
    <n v="0"/>
    <n v="2.6818738569099346E-2"/>
    <x v="0"/>
  </r>
  <r>
    <s v="PIT"/>
    <x v="1"/>
    <x v="9"/>
    <x v="27"/>
    <x v="69"/>
    <n v="30946061"/>
    <n v="22463351"/>
    <n v="17801293"/>
    <n v="3460270"/>
    <n v="76"/>
    <n v="86"/>
    <x v="0"/>
    <n v="162"/>
    <x v="32"/>
    <n v="982512.82894736843"/>
    <n v="74670975"/>
    <n v="0"/>
    <n v="0.41443226099565461"/>
    <n v="0.30083109267021091"/>
    <n v="0.23839641842094603"/>
    <n v="4.6340227913188488E-2"/>
    <x v="0"/>
  </r>
  <r>
    <s v="WSH"/>
    <x v="24"/>
    <x v="0"/>
    <x v="19"/>
    <x v="70"/>
    <n v="45664863"/>
    <n v="20500582"/>
    <n v="7137096"/>
    <n v="98495"/>
    <n v="26"/>
    <n v="34"/>
    <x v="0"/>
    <n v="60"/>
    <x v="5"/>
    <n v="2872974.346153846"/>
    <n v="73401036"/>
    <n v="1296297"/>
    <n v="0.61133190658895409"/>
    <n v="0.27444864731649787"/>
    <n v="9.5546865106951012E-2"/>
    <n v="1.3185879072817768E-3"/>
    <x v="0"/>
  </r>
  <r>
    <s v="TB"/>
    <x v="2"/>
    <x v="9"/>
    <x v="23"/>
    <x v="71"/>
    <n v="50544710"/>
    <n v="15788201"/>
    <n v="2956334"/>
    <n v="1004572"/>
    <n v="99"/>
    <n v="63"/>
    <x v="2"/>
    <n v="162"/>
    <x v="47"/>
    <n v="757054.16161616158"/>
    <n v="70293817"/>
    <n v="4654545"/>
    <n v="0.67439379128792698"/>
    <n v="0.21065438361414757"/>
    <n v="3.9444944774109938E-2"/>
    <n v="1.3403521747413239E-2"/>
    <x v="1"/>
  </r>
  <r>
    <s v="OAK"/>
    <x v="6"/>
    <x v="4"/>
    <x v="15"/>
    <x v="72"/>
    <n v="68725475"/>
    <n v="0"/>
    <n v="6515573"/>
    <n v="0"/>
    <n v="74"/>
    <n v="88"/>
    <x v="0"/>
    <n v="162"/>
    <x v="48"/>
    <n v="1016770.9189189189"/>
    <n v="75241048"/>
    <n v="0"/>
    <n v="0.91340401053424991"/>
    <n v="0"/>
    <n v="8.6595989465750131E-2"/>
    <n v="0"/>
    <x v="0"/>
  </r>
  <r>
    <s v="MIA"/>
    <x v="4"/>
    <x v="10"/>
    <x v="1"/>
    <x v="73"/>
    <n v="66602760"/>
    <n v="3001903"/>
    <n v="4968020"/>
    <n v="1023588"/>
    <n v="57"/>
    <n v="105"/>
    <x v="0"/>
    <n v="162"/>
    <x v="49"/>
    <n v="1326250.3684210526"/>
    <n v="75596271"/>
    <n v="0"/>
    <n v="0.88103234615897918"/>
    <n v="3.970967033545874E-2"/>
    <n v="6.5717791820710317E-2"/>
    <n v="1.3540191684851757E-2"/>
    <x v="0"/>
  </r>
  <r>
    <s v="MIA"/>
    <x v="4"/>
    <x v="8"/>
    <x v="25"/>
    <x v="74"/>
    <n v="60842038"/>
    <n v="3300000"/>
    <n v="10032559"/>
    <n v="2190709"/>
    <n v="79"/>
    <n v="82"/>
    <x v="0"/>
    <n v="161"/>
    <x v="50"/>
    <n v="966649.44303797465"/>
    <n v="76365306"/>
    <n v="0"/>
    <n v="0.79672355401810346"/>
    <n v="4.3213340885453928E-2"/>
    <n v="0.13137587636982689"/>
    <n v="2.8687228726615721E-2"/>
    <x v="0"/>
  </r>
  <r>
    <s v="CLE"/>
    <x v="7"/>
    <x v="6"/>
    <x v="20"/>
    <x v="75"/>
    <n v="70583254"/>
    <n v="0"/>
    <n v="5993989"/>
    <n v="0"/>
    <n v="68"/>
    <n v="94"/>
    <x v="0"/>
    <n v="162"/>
    <x v="31"/>
    <n v="1126135.9264705882"/>
    <n v="76577243"/>
    <n v="0"/>
    <n v="0.92172623660530584"/>
    <n v="0"/>
    <n v="7.8273763394694162E-2"/>
    <n v="0"/>
    <x v="0"/>
  </r>
  <r>
    <s v="COL"/>
    <x v="20"/>
    <x v="1"/>
    <x v="2"/>
    <x v="76"/>
    <n v="73766018"/>
    <n v="0"/>
    <n v="1459705"/>
    <n v="1516065"/>
    <n v="74"/>
    <n v="88"/>
    <x v="0"/>
    <n v="162"/>
    <x v="48"/>
    <n v="1037051.1891891892"/>
    <n v="76741788"/>
    <n v="0"/>
    <n v="0.96122360349487812"/>
    <n v="0"/>
    <n v="1.902099283899927E-2"/>
    <n v="1.9755403666122558E-2"/>
    <x v="0"/>
  </r>
  <r>
    <s v="ARI"/>
    <x v="18"/>
    <x v="13"/>
    <x v="18"/>
    <x v="77"/>
    <n v="45142733"/>
    <n v="1026500"/>
    <n v="30465028"/>
    <n v="147540"/>
    <n v="79"/>
    <n v="83"/>
    <x v="0"/>
    <n v="162"/>
    <x v="27"/>
    <n v="971921.5316455696"/>
    <n v="76781801"/>
    <n v="0"/>
    <n v="0.58793532337174537"/>
    <n v="1.336905342973135E-2"/>
    <n v="0.39677407410644094"/>
    <n v="1.9215490920823804E-3"/>
    <x v="0"/>
  </r>
  <r>
    <s v="PIT"/>
    <x v="1"/>
    <x v="5"/>
    <x v="16"/>
    <x v="78"/>
    <n v="69388939"/>
    <n v="0"/>
    <n v="7320970"/>
    <n v="92895"/>
    <n v="88"/>
    <n v="74"/>
    <x v="2"/>
    <n v="162"/>
    <x v="51"/>
    <n v="872759.13636363635"/>
    <n v="76802804"/>
    <n v="0"/>
    <n v="0.90346882387262839"/>
    <n v="0"/>
    <n v="9.5321649975175379E-2"/>
    <n v="1.209526152196214E-3"/>
    <x v="1"/>
  </r>
  <r>
    <s v="TB"/>
    <x v="2"/>
    <x v="5"/>
    <x v="25"/>
    <x v="79"/>
    <n v="63704707"/>
    <n v="0"/>
    <n v="13116339"/>
    <n v="0"/>
    <n v="77"/>
    <n v="85"/>
    <x v="0"/>
    <n v="162"/>
    <x v="17"/>
    <n v="997675.92207792203"/>
    <n v="76821046"/>
    <n v="0"/>
    <n v="0.82926112461421053"/>
    <n v="0"/>
    <n v="0.17073887538578947"/>
    <n v="0"/>
    <x v="0"/>
  </r>
  <r>
    <s v="SD"/>
    <x v="10"/>
    <x v="11"/>
    <x v="22"/>
    <x v="80"/>
    <n v="23930424"/>
    <n v="5182750"/>
    <n v="42793983"/>
    <n v="5014521"/>
    <n v="71"/>
    <n v="91"/>
    <x v="0"/>
    <n v="162"/>
    <x v="15"/>
    <n v="1083403.9154929577"/>
    <n v="76921678"/>
    <n v="0"/>
    <n v="0.31110116968587193"/>
    <n v="6.737697531767313E-2"/>
    <n v="0.55633189645186887"/>
    <n v="6.5189958544586091E-2"/>
    <x v="0"/>
  </r>
  <r>
    <s v="CLE"/>
    <x v="7"/>
    <x v="13"/>
    <x v="11"/>
    <x v="81"/>
    <n v="45520977"/>
    <n v="680720"/>
    <n v="29817050"/>
    <n v="1385666"/>
    <n v="81"/>
    <n v="80"/>
    <x v="0"/>
    <n v="161"/>
    <x v="52"/>
    <n v="955610.03703703708"/>
    <n v="77404413"/>
    <n v="0"/>
    <n v="0.58809278742285664"/>
    <n v="8.7943306281516535E-3"/>
    <n v="0.38521124112135569"/>
    <n v="1.7901640827636015E-2"/>
    <x v="0"/>
  </r>
  <r>
    <s v="OAK"/>
    <x v="6"/>
    <x v="12"/>
    <x v="33"/>
    <x v="82"/>
    <n v="61525657"/>
    <n v="4972604"/>
    <n v="10118631"/>
    <n v="1056690"/>
    <n v="97"/>
    <n v="65"/>
    <x v="2"/>
    <n v="162"/>
    <x v="53"/>
    <n v="800758.57731958758"/>
    <n v="77673582"/>
    <n v="0"/>
    <n v="0.79210531323249644"/>
    <n v="6.4019244020444427E-2"/>
    <n v="0.13027120340606926"/>
    <n v="1.3604239340989836E-2"/>
    <x v="1"/>
  </r>
  <r>
    <s v="TB"/>
    <x v="2"/>
    <x v="11"/>
    <x v="2"/>
    <x v="83"/>
    <n v="59818694"/>
    <n v="6867218"/>
    <n v="7098455"/>
    <n v="382917"/>
    <n v="80"/>
    <n v="82"/>
    <x v="0"/>
    <n v="162"/>
    <x v="19"/>
    <n v="972640.0625"/>
    <n v="74167284"/>
    <n v="3643921"/>
    <n v="0.76876709466200921"/>
    <n v="8.8254872803987555E-2"/>
    <n v="9.1226642743805347E-2"/>
    <n v="4.9211035865592877E-3"/>
    <x v="0"/>
  </r>
  <r>
    <s v="OAK"/>
    <x v="6"/>
    <x v="13"/>
    <x v="2"/>
    <x v="84"/>
    <n v="42311467"/>
    <n v="8772896"/>
    <n v="29168581"/>
    <n v="238395"/>
    <n v="68"/>
    <n v="94"/>
    <x v="0"/>
    <n v="162"/>
    <x v="31"/>
    <n v="1183696.1617647058"/>
    <n v="80491339"/>
    <n v="0"/>
    <n v="0.52566484202728947"/>
    <n v="0.1089918009687974"/>
    <n v="0.36238160977791661"/>
    <n v="2.9617472259965759E-3"/>
    <x v="0"/>
  </r>
  <r>
    <s v="ARI"/>
    <x v="18"/>
    <x v="6"/>
    <x v="28"/>
    <x v="85"/>
    <n v="74074400"/>
    <n v="0"/>
    <n v="6636613"/>
    <n v="0"/>
    <n v="81"/>
    <n v="81"/>
    <x v="0"/>
    <n v="162"/>
    <x v="44"/>
    <n v="996432.25925925921"/>
    <n v="80711013"/>
    <n v="0"/>
    <n v="0.91777314206179028"/>
    <n v="0"/>
    <n v="8.2226857938209746E-2"/>
    <n v="0"/>
    <x v="0"/>
  </r>
  <r>
    <s v="MIN"/>
    <x v="16"/>
    <x v="1"/>
    <x v="20"/>
    <x v="86"/>
    <n v="58450017"/>
    <n v="0"/>
    <n v="17083194"/>
    <n v="5767759"/>
    <n v="66"/>
    <n v="96"/>
    <x v="0"/>
    <n v="162"/>
    <x v="54"/>
    <n v="1231832.8787878789"/>
    <n v="81300970"/>
    <n v="0"/>
    <n v="0.71893382083879198"/>
    <n v="0"/>
    <n v="0.21012288045271785"/>
    <n v="7.0943298708490199E-2"/>
    <x v="0"/>
  </r>
  <r>
    <s v="HOU"/>
    <x v="3"/>
    <x v="13"/>
    <x v="16"/>
    <x v="87"/>
    <n v="64818398"/>
    <n v="11040900"/>
    <n v="3150680"/>
    <n v="2331568"/>
    <n v="86"/>
    <n v="76"/>
    <x v="2"/>
    <n v="162"/>
    <x v="34"/>
    <n v="945831.93023255817"/>
    <n v="81341546"/>
    <n v="0"/>
    <n v="0.79686705241624001"/>
    <n v="0.13573506458802737"/>
    <n v="3.8733957675208187E-2"/>
    <n v="2.8663925320524399E-2"/>
    <x v="1"/>
  </r>
  <r>
    <s v="CIN"/>
    <x v="14"/>
    <x v="4"/>
    <x v="8"/>
    <x v="88"/>
    <n v="79612874"/>
    <n v="0"/>
    <n v="2307672"/>
    <n v="0"/>
    <n v="79"/>
    <n v="83"/>
    <x v="0"/>
    <n v="162"/>
    <x v="27"/>
    <n v="1036968.9367088608"/>
    <n v="81920546"/>
    <n v="0"/>
    <n v="0.97183036353297747"/>
    <n v="0"/>
    <n v="2.8169636467022571E-2"/>
    <n v="0"/>
    <x v="0"/>
  </r>
  <r>
    <s v="NYM"/>
    <x v="25"/>
    <x v="0"/>
    <x v="7"/>
    <x v="89"/>
    <n v="46360406"/>
    <n v="15399881"/>
    <n v="18418790"/>
    <n v="373486"/>
    <n v="26"/>
    <n v="34"/>
    <x v="0"/>
    <n v="60"/>
    <x v="5"/>
    <n v="3151753.769230769"/>
    <n v="80552563"/>
    <n v="1393035"/>
    <n v="0.56574614294717818"/>
    <n v="0.18792810566834842"/>
    <n v="0.22476851044518584"/>
    <n v="4.5577310937434373E-3"/>
    <x v="0"/>
  </r>
  <r>
    <s v="HOU"/>
    <x v="3"/>
    <x v="0"/>
    <x v="8"/>
    <x v="90"/>
    <n v="61406160"/>
    <n v="18763334"/>
    <n v="250000"/>
    <n v="754130"/>
    <n v="29"/>
    <n v="31"/>
    <x v="2"/>
    <n v="60"/>
    <x v="9"/>
    <n v="2850176.0344827585"/>
    <n v="81173624"/>
    <n v="1481481"/>
    <n v="0.74292035561505854"/>
    <n v="0.22700756353766655"/>
    <n v="3.0246165678453861E-3"/>
    <n v="9.1238163692369638E-3"/>
    <x v="1"/>
  </r>
  <r>
    <s v="SEA"/>
    <x v="11"/>
    <x v="1"/>
    <x v="9"/>
    <x v="91"/>
    <n v="63758496"/>
    <n v="0"/>
    <n v="18717866"/>
    <n v="243660"/>
    <n v="71"/>
    <n v="91"/>
    <x v="0"/>
    <n v="162"/>
    <x v="15"/>
    <n v="1165070.7323943663"/>
    <n v="82720022"/>
    <n v="0"/>
    <n v="0.77077464993904377"/>
    <n v="0"/>
    <n v="0.22627975123120736"/>
    <n v="2.9455988297488606E-3"/>
    <x v="0"/>
  </r>
  <r>
    <s v="COL"/>
    <x v="20"/>
    <x v="4"/>
    <x v="8"/>
    <x v="92"/>
    <n v="77367736"/>
    <n v="0"/>
    <n v="5530198"/>
    <n v="0"/>
    <n v="73"/>
    <n v="89"/>
    <x v="0"/>
    <n v="162"/>
    <x v="29"/>
    <n v="1135588.1369863013"/>
    <n v="82897934"/>
    <n v="0"/>
    <n v="0.93328907328378052"/>
    <n v="0"/>
    <n v="6.671092671621949E-2"/>
    <n v="0"/>
    <x v="0"/>
  </r>
  <r>
    <s v="BAL"/>
    <x v="0"/>
    <x v="6"/>
    <x v="0"/>
    <x v="93"/>
    <n v="80099381"/>
    <n v="0"/>
    <n v="2832787"/>
    <n v="0"/>
    <n v="93"/>
    <n v="69"/>
    <x v="2"/>
    <n v="162"/>
    <x v="55"/>
    <n v="891743.74193548388"/>
    <n v="82932168"/>
    <n v="0"/>
    <n v="0.96584212051468377"/>
    <n v="0"/>
    <n v="3.4157879485316241E-2"/>
    <n v="0"/>
    <x v="1"/>
  </r>
  <r>
    <s v="OAK"/>
    <x v="6"/>
    <x v="8"/>
    <x v="10"/>
    <x v="94"/>
    <n v="28084351"/>
    <n v="19754414"/>
    <n v="35098597"/>
    <n v="171926"/>
    <n v="69"/>
    <n v="93"/>
    <x v="0"/>
    <n v="162"/>
    <x v="28"/>
    <n v="1204482.4347826086"/>
    <n v="83109288"/>
    <n v="0"/>
    <n v="0.33792072674235879"/>
    <n v="0.23769201343657281"/>
    <n v="0.42231858610074963"/>
    <n v="2.0686737203187205E-3"/>
    <x v="0"/>
  </r>
  <r>
    <s v="SD"/>
    <x v="10"/>
    <x v="8"/>
    <x v="20"/>
    <x v="95"/>
    <n v="21508794"/>
    <n v="13711664"/>
    <n v="48181815"/>
    <n v="33286"/>
    <n v="68"/>
    <n v="94"/>
    <x v="0"/>
    <n v="162"/>
    <x v="31"/>
    <n v="1226993.5147058824"/>
    <n v="83435559"/>
    <n v="0"/>
    <n v="0.25778929580851734"/>
    <n v="0.16433837280337513"/>
    <n v="0.57747338877420362"/>
    <n v="3.989426139039831E-4"/>
    <x v="0"/>
  </r>
  <r>
    <s v="DET"/>
    <x v="9"/>
    <x v="2"/>
    <x v="23"/>
    <x v="96"/>
    <n v="61408153"/>
    <n v="13503703"/>
    <n v="8352752"/>
    <n v="434337"/>
    <n v="77"/>
    <n v="85"/>
    <x v="0"/>
    <n v="162"/>
    <x v="17"/>
    <n v="1086999.2857142857"/>
    <n v="83698945"/>
    <n v="0"/>
    <n v="0.73367893705231291"/>
    <n v="0.16133659749235787"/>
    <n v="9.9795188577347066E-2"/>
    <n v="5.1892768779821536E-3"/>
    <x v="0"/>
  </r>
  <r>
    <s v="SEA"/>
    <x v="11"/>
    <x v="2"/>
    <x v="1"/>
    <x v="97"/>
    <n v="57010274"/>
    <n v="16037933"/>
    <n v="8004079"/>
    <n v="2199327"/>
    <n v="90"/>
    <n v="72"/>
    <x v="0"/>
    <n v="162"/>
    <x v="36"/>
    <n v="931356.81111111108"/>
    <n v="83251613"/>
    <n v="570500"/>
    <n v="0.68013405961264661"/>
    <n v="0.19133296007462852"/>
    <n v="9.5488871773012934E-2"/>
    <n v="2.6238028621397316E-2"/>
    <x v="0"/>
  </r>
  <r>
    <s v="PIT"/>
    <x v="1"/>
    <x v="7"/>
    <x v="12"/>
    <x v="98"/>
    <n v="51220210"/>
    <n v="14524211"/>
    <n v="15341351"/>
    <n v="2965217"/>
    <n v="76"/>
    <n v="86"/>
    <x v="0"/>
    <n v="162"/>
    <x v="32"/>
    <n v="1105934.0657894737"/>
    <n v="84050989"/>
    <n v="0"/>
    <n v="0.60939449504871379"/>
    <n v="0.17280238070726331"/>
    <n v="0.18252433650721231"/>
    <n v="3.527878773681057E-2"/>
    <x v="0"/>
  </r>
  <r>
    <s v="BOS"/>
    <x v="26"/>
    <x v="0"/>
    <x v="16"/>
    <x v="99"/>
    <n v="36071047"/>
    <n v="16644224"/>
    <n v="15553004"/>
    <n v="15719893"/>
    <n v="24"/>
    <n v="36"/>
    <x v="0"/>
    <n v="60"/>
    <x v="56"/>
    <n v="3508766.25"/>
    <n v="83988168"/>
    <n v="222222"/>
    <n v="0.42834437650745949"/>
    <n v="0.19765047994671442"/>
    <n v="0.18469222147053352"/>
    <n v="0.18667403155358858"/>
    <x v="0"/>
  </r>
  <r>
    <s v="SEA"/>
    <x v="11"/>
    <x v="6"/>
    <x v="10"/>
    <x v="100"/>
    <n v="73071348"/>
    <n v="0"/>
    <n v="11218580"/>
    <n v="0"/>
    <n v="75"/>
    <n v="87"/>
    <x v="0"/>
    <n v="162"/>
    <x v="43"/>
    <n v="1123865.7066666668"/>
    <n v="84289928"/>
    <n v="0"/>
    <n v="0.86690485724462829"/>
    <n v="0"/>
    <n v="0.13309514275537168"/>
    <n v="0"/>
    <x v="0"/>
  </r>
  <r>
    <s v="KC"/>
    <x v="5"/>
    <x v="1"/>
    <x v="4"/>
    <x v="101"/>
    <n v="76594673"/>
    <n v="0"/>
    <n v="6399663"/>
    <n v="1404098"/>
    <n v="86"/>
    <n v="76"/>
    <x v="0"/>
    <n v="162"/>
    <x v="34"/>
    <n v="981377.13953488367"/>
    <n v="84398434"/>
    <n v="0"/>
    <n v="0.90753666116601173"/>
    <n v="0"/>
    <n v="7.5826797923762429E-2"/>
    <n v="1.6636540910225893E-2"/>
    <x v="0"/>
  </r>
  <r>
    <s v="CLE"/>
    <x v="7"/>
    <x v="5"/>
    <x v="12"/>
    <x v="102"/>
    <n v="60720646"/>
    <n v="0"/>
    <n v="23415930"/>
    <n v="345353"/>
    <n v="85"/>
    <n v="77"/>
    <x v="0"/>
    <n v="162"/>
    <x v="57"/>
    <n v="993905.04705882352"/>
    <n v="84481929"/>
    <n v="0"/>
    <n v="0.71874123518178668"/>
    <n v="0"/>
    <n v="0.27717087283837943"/>
    <n v="4.087891979833936E-3"/>
    <x v="0"/>
  </r>
  <r>
    <s v="HOU"/>
    <x v="3"/>
    <x v="4"/>
    <x v="20"/>
    <x v="103"/>
    <n v="71121885"/>
    <n v="0"/>
    <n v="13476503"/>
    <n v="0"/>
    <n v="56"/>
    <n v="106"/>
    <x v="0"/>
    <n v="162"/>
    <x v="58"/>
    <n v="1510685.5"/>
    <n v="84598388"/>
    <n v="0"/>
    <n v="0.84070023887452794"/>
    <n v="0"/>
    <n v="0.15929976112547203"/>
    <n v="0"/>
    <x v="0"/>
  </r>
  <r>
    <s v="SD"/>
    <x v="10"/>
    <x v="5"/>
    <x v="16"/>
    <x v="104"/>
    <n v="67296350"/>
    <n v="501400"/>
    <n v="16594743"/>
    <n v="609474"/>
    <n v="77"/>
    <n v="85"/>
    <x v="0"/>
    <n v="162"/>
    <x v="17"/>
    <n v="1103921.6493506494"/>
    <n v="85001967"/>
    <n v="0"/>
    <n v="0.79170344375677804"/>
    <n v="5.8986870268543318E-3"/>
    <n v="0.19522775278835605"/>
    <n v="7.1701164280116008E-3"/>
    <x v="0"/>
  </r>
  <r>
    <s v="ARI"/>
    <x v="18"/>
    <x v="3"/>
    <x v="8"/>
    <x v="105"/>
    <n v="53176803"/>
    <n v="19224958"/>
    <n v="9707562"/>
    <n v="2484582"/>
    <n v="74"/>
    <n v="88"/>
    <x v="0"/>
    <n v="162"/>
    <x v="48"/>
    <n v="1152620.3378378379"/>
    <n v="84593905"/>
    <n v="700000"/>
    <n v="0.62345372743808603"/>
    <n v="0.22539662124743848"/>
    <n v="0.1138130796098502"/>
    <n v="2.9129654692208077E-2"/>
    <x v="0"/>
  </r>
  <r>
    <s v="CHW"/>
    <x v="12"/>
    <x v="11"/>
    <x v="6"/>
    <x v="106"/>
    <n v="32540383"/>
    <n v="7571000"/>
    <n v="44858846"/>
    <n v="525009"/>
    <n v="67"/>
    <n v="95"/>
    <x v="0"/>
    <n v="162"/>
    <x v="25"/>
    <n v="1276048.328358209"/>
    <n v="85495238"/>
    <n v="0"/>
    <n v="0.38061047329910935"/>
    <n v="8.8554639733267951E-2"/>
    <n v="0.52469408880995216"/>
    <n v="6.1407981576704889E-3"/>
    <x v="0"/>
  </r>
  <r>
    <s v="CHC"/>
    <x v="27"/>
    <x v="0"/>
    <x v="34"/>
    <x v="107"/>
    <n v="66116504"/>
    <n v="6448626"/>
    <n v="12464463"/>
    <n v="983245"/>
    <n v="34"/>
    <n v="26"/>
    <x v="1"/>
    <n v="60"/>
    <x v="59"/>
    <n v="2529789.3529411764"/>
    <n v="86012838"/>
    <n v="0"/>
    <n v="0.76868181003398584"/>
    <n v="7.4972831381287519E-2"/>
    <n v="0.14491398365439354"/>
    <n v="1.1431374930333074E-2"/>
    <x v="1"/>
  </r>
  <r>
    <s v="CIN"/>
    <x v="14"/>
    <x v="8"/>
    <x v="0"/>
    <x v="108"/>
    <n v="63783665"/>
    <n v="11856070"/>
    <n v="10862757"/>
    <n v="723945"/>
    <n v="68"/>
    <n v="94"/>
    <x v="0"/>
    <n v="162"/>
    <x v="31"/>
    <n v="1282741.7205882352"/>
    <n v="87226437"/>
    <n v="0"/>
    <n v="0.73124235259087789"/>
    <n v="0.13592289686210615"/>
    <n v="0.12453514523354886"/>
    <n v="8.2996053134670629E-3"/>
    <x v="0"/>
  </r>
  <r>
    <s v="COL"/>
    <x v="20"/>
    <x v="6"/>
    <x v="20"/>
    <x v="109"/>
    <n v="76398104"/>
    <n v="0"/>
    <n v="10834425"/>
    <n v="0"/>
    <n v="64"/>
    <n v="98"/>
    <x v="0"/>
    <n v="162"/>
    <x v="60"/>
    <n v="1363008.265625"/>
    <n v="87232529"/>
    <n v="0"/>
    <n v="0.87579833894303349"/>
    <n v="0"/>
    <n v="0.12420166105696649"/>
    <n v="0"/>
    <x v="0"/>
  </r>
  <r>
    <s v="MIN"/>
    <x v="16"/>
    <x v="5"/>
    <x v="0"/>
    <x v="110"/>
    <n v="72140448"/>
    <n v="0"/>
    <n v="15337637"/>
    <n v="16393"/>
    <n v="70"/>
    <n v="92"/>
    <x v="0"/>
    <n v="162"/>
    <x v="20"/>
    <n v="1249921.1142857142"/>
    <n v="87494478"/>
    <n v="0"/>
    <n v="0.82451429677653487"/>
    <n v="0"/>
    <n v="0.17529834282798967"/>
    <n v="1.8736039547547219E-4"/>
    <x v="0"/>
  </r>
  <r>
    <s v="MIL"/>
    <x v="8"/>
    <x v="1"/>
    <x v="23"/>
    <x v="111"/>
    <n v="70615690"/>
    <n v="0"/>
    <n v="7818853"/>
    <n v="286502"/>
    <n v="74"/>
    <n v="88"/>
    <x v="0"/>
    <n v="162"/>
    <x v="48"/>
    <n v="1192176.2837837837"/>
    <n v="78721045"/>
    <n v="9500000"/>
    <n v="0.8004404164561868"/>
    <n v="0"/>
    <n v="8.8627979865801856E-2"/>
    <n v="3.247547113049953E-3"/>
    <x v="0"/>
  </r>
  <r>
    <s v="ARI"/>
    <x v="18"/>
    <x v="1"/>
    <x v="4"/>
    <x v="112"/>
    <n v="78126043"/>
    <n v="0"/>
    <n v="9916749"/>
    <n v="273686"/>
    <n v="81"/>
    <n v="81"/>
    <x v="0"/>
    <n v="162"/>
    <x v="44"/>
    <n v="1090326.888888889"/>
    <n v="88316478"/>
    <n v="0"/>
    <n v="0.884614567623496"/>
    <n v="0"/>
    <n v="0.11228650897967195"/>
    <n v="3.098923396832016E-3"/>
    <x v="0"/>
  </r>
  <r>
    <s v="MIA"/>
    <x v="4"/>
    <x v="3"/>
    <x v="16"/>
    <x v="113"/>
    <n v="50291980"/>
    <n v="20999362"/>
    <n v="10674607"/>
    <n v="1938473"/>
    <n v="69"/>
    <n v="93"/>
    <x v="0"/>
    <n v="162"/>
    <x v="28"/>
    <n v="1281948.1449275361"/>
    <n v="83904422"/>
    <n v="4550000"/>
    <n v="0.5685637740078161"/>
    <n v="0.23740319053806039"/>
    <n v="0.12067917870742516"/>
    <n v="2.1914936033384517E-2"/>
    <x v="0"/>
  </r>
  <r>
    <s v="CLE"/>
    <x v="7"/>
    <x v="9"/>
    <x v="6"/>
    <x v="114"/>
    <n v="54881912"/>
    <n v="1881400"/>
    <n v="30397406"/>
    <n v="1158646"/>
    <n v="76"/>
    <n v="86"/>
    <x v="0"/>
    <n v="162"/>
    <x v="32"/>
    <n v="1169889.8289473683"/>
    <n v="88319364"/>
    <n v="592263"/>
    <n v="0.61726361165340049"/>
    <n v="2.1160337106416915E-2"/>
    <n v="0.34188336245382173"/>
    <n v="1.3031434010312284E-2"/>
    <x v="0"/>
  </r>
  <r>
    <s v="CHW"/>
    <x v="12"/>
    <x v="5"/>
    <x v="5"/>
    <x v="115"/>
    <n v="60305897"/>
    <n v="0"/>
    <n v="28411749"/>
    <n v="579656"/>
    <n v="73"/>
    <n v="89"/>
    <x v="0"/>
    <n v="162"/>
    <x v="29"/>
    <n v="1223250.7123287672"/>
    <n v="89297302"/>
    <n v="0"/>
    <n v="0.67533839936171869"/>
    <n v="0"/>
    <n v="0.31817029589538998"/>
    <n v="6.4913047428913359E-3"/>
    <x v="0"/>
  </r>
  <r>
    <s v="TB"/>
    <x v="2"/>
    <x v="7"/>
    <x v="9"/>
    <x v="116"/>
    <n v="37691876"/>
    <n v="13179262"/>
    <n v="34675167"/>
    <n v="1706572"/>
    <n v="80"/>
    <n v="82"/>
    <x v="0"/>
    <n v="162"/>
    <x v="19"/>
    <n v="1121342.7749999999"/>
    <n v="87252877"/>
    <n v="2454545"/>
    <n v="0.42016452105824642"/>
    <n v="0.14691384175547928"/>
    <n v="0.38653621101718877"/>
    <n v="1.902375480147005E-2"/>
    <x v="0"/>
  </r>
  <r>
    <s v="OAK"/>
    <x v="6"/>
    <x v="2"/>
    <x v="35"/>
    <x v="117"/>
    <n v="51210210"/>
    <n v="34397095"/>
    <n v="2500111"/>
    <n v="1079752"/>
    <n v="86"/>
    <n v="76"/>
    <x v="0"/>
    <n v="162"/>
    <x v="34"/>
    <n v="1043810.0930232558"/>
    <n v="89187168"/>
    <n v="580500"/>
    <n v="0.57047499551843095"/>
    <n v="0.3831791085405048"/>
    <n v="2.7850907299942336E-2"/>
    <n v="1.202829508726906E-2"/>
    <x v="0"/>
  </r>
  <r>
    <s v="CIN"/>
    <x v="14"/>
    <x v="6"/>
    <x v="8"/>
    <x v="118"/>
    <n v="89101498"/>
    <n v="0"/>
    <n v="0"/>
    <n v="800000"/>
    <n v="97"/>
    <n v="65"/>
    <x v="1"/>
    <n v="162"/>
    <x v="53"/>
    <n v="926819.56701030931"/>
    <n v="89901498"/>
    <n v="0"/>
    <n v="0.99110137185923197"/>
    <n v="0"/>
    <n v="0"/>
    <n v="8.8986281407680209E-3"/>
    <x v="1"/>
  </r>
  <r>
    <s v="CHC"/>
    <x v="27"/>
    <x v="5"/>
    <x v="10"/>
    <x v="119"/>
    <n v="54429470"/>
    <n v="0"/>
    <n v="34683034"/>
    <n v="1252237"/>
    <n v="73"/>
    <n v="89"/>
    <x v="0"/>
    <n v="162"/>
    <x v="29"/>
    <n v="1237873.1643835616"/>
    <n v="90364741"/>
    <n v="0"/>
    <n v="0.60233083609457805"/>
    <n v="0"/>
    <n v="0.38381157978419922"/>
    <n v="1.3857584121222679E-2"/>
    <x v="0"/>
  </r>
  <r>
    <s v="PIT"/>
    <x v="1"/>
    <x v="12"/>
    <x v="10"/>
    <x v="120"/>
    <n v="67576415"/>
    <n v="4670500"/>
    <n v="17492114"/>
    <n v="1286832"/>
    <n v="82"/>
    <n v="79"/>
    <x v="0"/>
    <n v="161"/>
    <x v="61"/>
    <n v="1110071.4756097561"/>
    <n v="91025861"/>
    <n v="0"/>
    <n v="0.74238699044000256"/>
    <n v="5.1309594314081795E-2"/>
    <n v="0.19216642180401897"/>
    <n v="1.4136993441896693E-2"/>
    <x v="0"/>
  </r>
  <r>
    <s v="CHW"/>
    <x v="12"/>
    <x v="10"/>
    <x v="23"/>
    <x v="121"/>
    <n v="67330431"/>
    <n v="10267750"/>
    <n v="13080697"/>
    <n v="692323"/>
    <n v="72"/>
    <n v="89"/>
    <x v="0"/>
    <n v="161"/>
    <x v="62"/>
    <n v="1269044.4583333333"/>
    <n v="91371201"/>
    <n v="0"/>
    <n v="0.736888978836997"/>
    <n v="0.11237402909916878"/>
    <n v="0.14315995474328941"/>
    <n v="7.5770373205447964E-3"/>
    <x v="0"/>
  </r>
  <r>
    <s v="KC"/>
    <x v="5"/>
    <x v="2"/>
    <x v="1"/>
    <x v="122"/>
    <n v="52514932"/>
    <n v="15758956"/>
    <n v="21740784"/>
    <n v="1580873"/>
    <n v="74"/>
    <n v="88"/>
    <x v="0"/>
    <n v="162"/>
    <x v="48"/>
    <n v="1237777.6351351351"/>
    <n v="91595545"/>
    <n v="0"/>
    <n v="0.57333500226457523"/>
    <n v="0.17204937205188309"/>
    <n v="0.23735634740750763"/>
    <n v="1.725927827603406E-2"/>
    <x v="0"/>
  </r>
  <r>
    <s v="ARI"/>
    <x v="18"/>
    <x v="2"/>
    <x v="23"/>
    <x v="123"/>
    <n v="54229878"/>
    <n v="8694478"/>
    <n v="25868212"/>
    <n v="2840361"/>
    <n v="52"/>
    <n v="110"/>
    <x v="0"/>
    <n v="162"/>
    <x v="10"/>
    <n v="1762171.7115384615"/>
    <n v="91632929"/>
    <n v="0"/>
    <n v="0.59181648553436506"/>
    <n v="9.488377262283082E-2"/>
    <n v="0.28230257705720613"/>
    <n v="3.099716478559798E-2"/>
    <x v="0"/>
  </r>
  <r>
    <s v="OAK"/>
    <x v="6"/>
    <x v="5"/>
    <x v="21"/>
    <x v="124"/>
    <n v="65864461"/>
    <n v="0"/>
    <n v="22605236"/>
    <n v="3168715"/>
    <n v="88"/>
    <n v="74"/>
    <x v="2"/>
    <n v="162"/>
    <x v="51"/>
    <n v="1041345.5909090909"/>
    <n v="91638412"/>
    <n v="0"/>
    <n v="0.71874293282166435"/>
    <n v="0"/>
    <n v="0.24667860896585594"/>
    <n v="3.4578458212479721E-2"/>
    <x v="1"/>
  </r>
  <r>
    <s v="MIA"/>
    <x v="4"/>
    <x v="12"/>
    <x v="22"/>
    <x v="125"/>
    <n v="43033514"/>
    <n v="15407490"/>
    <n v="31020460"/>
    <n v="2204036"/>
    <n v="63"/>
    <n v="98"/>
    <x v="0"/>
    <n v="161"/>
    <x v="63"/>
    <n v="1455007.9365079366"/>
    <n v="91665500"/>
    <n v="0"/>
    <n v="0.46946249134079887"/>
    <n v="0.16808384833988796"/>
    <n v="0.3384093252095936"/>
    <n v="2.4044335109719577E-2"/>
    <x v="0"/>
  </r>
  <r>
    <s v="BAL"/>
    <x v="0"/>
    <x v="4"/>
    <x v="12"/>
    <x v="126"/>
    <n v="91391741"/>
    <n v="0"/>
    <n v="0"/>
    <n v="359658"/>
    <n v="69"/>
    <n v="93"/>
    <x v="0"/>
    <n v="162"/>
    <x v="28"/>
    <n v="1329730.420289855"/>
    <n v="91751399"/>
    <n v="0"/>
    <n v="0.99608008156911043"/>
    <n v="0"/>
    <n v="0"/>
    <n v="3.919918430889539E-3"/>
    <x v="0"/>
  </r>
  <r>
    <s v="MIL"/>
    <x v="8"/>
    <x v="4"/>
    <x v="24"/>
    <x v="127"/>
    <n v="91777138"/>
    <n v="0"/>
    <n v="500000"/>
    <n v="0"/>
    <n v="96"/>
    <n v="66"/>
    <x v="1"/>
    <n v="162"/>
    <x v="33"/>
    <n v="961220.1875"/>
    <n v="92277138"/>
    <n v="0"/>
    <n v="0.99458153979591346"/>
    <n v="0"/>
    <n v="5.4184602040865202E-3"/>
    <n v="0"/>
    <x v="1"/>
  </r>
  <r>
    <s v="KC"/>
    <x v="5"/>
    <x v="3"/>
    <x v="29"/>
    <x v="128"/>
    <n v="62728828"/>
    <n v="6413200"/>
    <n v="21516010"/>
    <n v="1955673"/>
    <n v="65"/>
    <n v="97"/>
    <x v="0"/>
    <n v="162"/>
    <x v="64"/>
    <n v="1424826.3230769231"/>
    <n v="92613711"/>
    <n v="0"/>
    <n v="0.67731686078317277"/>
    <n v="6.924676628064283E-2"/>
    <n v="0.23231992075125896"/>
    <n v="2.1116452184925406E-2"/>
    <x v="0"/>
  </r>
  <r>
    <s v="CLE"/>
    <x v="7"/>
    <x v="1"/>
    <x v="26"/>
    <x v="129"/>
    <n v="78454465"/>
    <n v="602603"/>
    <n v="13914068"/>
    <n v="37761"/>
    <n v="92"/>
    <n v="70"/>
    <x v="2"/>
    <n v="162"/>
    <x v="35"/>
    <n v="1010966.2717391305"/>
    <n v="93008897"/>
    <n v="0"/>
    <n v="0.84351570151401756"/>
    <n v="6.4789823278949329E-3"/>
    <n v="0.14959932274006002"/>
    <n v="4.0599341802752481E-4"/>
    <x v="1"/>
  </r>
  <r>
    <s v="WSH"/>
    <x v="24"/>
    <x v="9"/>
    <x v="5"/>
    <x v="130"/>
    <n v="49949016"/>
    <n v="32648896"/>
    <n v="7902056"/>
    <n v="2646435"/>
    <n v="71"/>
    <n v="91"/>
    <x v="0"/>
    <n v="162"/>
    <x v="15"/>
    <n v="1315192.4366197183"/>
    <n v="93146403"/>
    <n v="232260"/>
    <n v="0.53490823701341705"/>
    <n v="0.34963978869562523"/>
    <n v="8.4623786056992487E-2"/>
    <n v="2.8340896249499738E-2"/>
    <x v="0"/>
  </r>
  <r>
    <s v="MIL"/>
    <x v="8"/>
    <x v="13"/>
    <x v="22"/>
    <x v="131"/>
    <n v="58772714"/>
    <n v="1020000"/>
    <n v="33510458"/>
    <n v="549095"/>
    <n v="68"/>
    <n v="94"/>
    <x v="0"/>
    <n v="162"/>
    <x v="31"/>
    <n v="1380180.3970588236"/>
    <n v="93852267"/>
    <n v="0"/>
    <n v="0.62622583213679861"/>
    <n v="1.0868144506301591E-2"/>
    <n v="0.35705539217289234"/>
    <n v="5.8506311840075213E-3"/>
    <x v="0"/>
  </r>
  <r>
    <s v="NYM"/>
    <x v="25"/>
    <x v="5"/>
    <x v="23"/>
    <x v="132"/>
    <n v="74021346"/>
    <n v="0"/>
    <n v="19290982"/>
    <n v="1165709"/>
    <n v="79"/>
    <n v="83"/>
    <x v="0"/>
    <n v="162"/>
    <x v="27"/>
    <n v="1195924.5189873418"/>
    <n v="94478037"/>
    <n v="0"/>
    <n v="0.78347675661381488"/>
    <n v="0"/>
    <n v="0.20418483080887889"/>
    <n v="1.2338412577306194E-2"/>
    <x v="0"/>
  </r>
  <r>
    <s v="ATL"/>
    <x v="17"/>
    <x v="1"/>
    <x v="12"/>
    <x v="133"/>
    <n v="94401592"/>
    <n v="0"/>
    <n v="202972"/>
    <n v="343386"/>
    <n v="96"/>
    <n v="66"/>
    <x v="1"/>
    <n v="162"/>
    <x v="33"/>
    <n v="989041.14583333337"/>
    <n v="94947950"/>
    <n v="0"/>
    <n v="0.99424571041291576"/>
    <n v="0"/>
    <n v="2.1377186131980733E-3"/>
    <n v="3.6165709738862186E-3"/>
    <x v="1"/>
  </r>
  <r>
    <s v="TOR"/>
    <x v="13"/>
    <x v="6"/>
    <x v="4"/>
    <x v="134"/>
    <n v="89817658"/>
    <n v="0"/>
    <n v="5083969"/>
    <n v="650000"/>
    <n v="73"/>
    <n v="89"/>
    <x v="0"/>
    <n v="162"/>
    <x v="29"/>
    <n v="1308926.397260274"/>
    <n v="95551627"/>
    <n v="0"/>
    <n v="0.93999088053204993"/>
    <n v="0"/>
    <n v="5.3206514212468616E-2"/>
    <n v="6.8026052554814162E-3"/>
    <x v="0"/>
  </r>
  <r>
    <s v="CIN"/>
    <x v="14"/>
    <x v="9"/>
    <x v="12"/>
    <x v="135"/>
    <n v="43815845"/>
    <n v="9699072"/>
    <n v="38896450"/>
    <n v="3162050"/>
    <n v="82"/>
    <n v="80"/>
    <x v="0"/>
    <n v="162"/>
    <x v="65"/>
    <n v="1165529.4756097561"/>
    <n v="95573417"/>
    <n v="0"/>
    <n v="0.45845221794256868"/>
    <n v="0.10148294687423387"/>
    <n v="0.40697979857725503"/>
    <n v="3.3085036605942426E-2"/>
    <x v="0"/>
  </r>
  <r>
    <s v="KC"/>
    <x v="5"/>
    <x v="9"/>
    <x v="10"/>
    <x v="136"/>
    <n v="54242001"/>
    <n v="17014952"/>
    <n v="22659571"/>
    <n v="1679823"/>
    <n v="56"/>
    <n v="106"/>
    <x v="0"/>
    <n v="162"/>
    <x v="58"/>
    <n v="1707077.625"/>
    <n v="95596347"/>
    <n v="0"/>
    <n v="0.56740662904200723"/>
    <n v="0.17798747058818054"/>
    <n v="0.23703385862641801"/>
    <n v="1.7572041743394232E-2"/>
    <x v="0"/>
  </r>
  <r>
    <s v="TEX"/>
    <x v="15"/>
    <x v="2"/>
    <x v="0"/>
    <x v="137"/>
    <n v="24843032"/>
    <n v="7899375"/>
    <n v="58916700"/>
    <n v="4129712"/>
    <n v="60"/>
    <n v="102"/>
    <x v="0"/>
    <n v="162"/>
    <x v="16"/>
    <n v="1596480.3166666667"/>
    <n v="95788819"/>
    <n v="0"/>
    <n v="0.25935210663783215"/>
    <n v="8.2466566374516007E-2"/>
    <n v="0.61506865430713786"/>
    <n v="4.3112672680513997E-2"/>
    <x v="0"/>
  </r>
  <r>
    <s v="ATL"/>
    <x v="17"/>
    <x v="8"/>
    <x v="13"/>
    <x v="138"/>
    <n v="46917344"/>
    <n v="8116832"/>
    <n v="41248677"/>
    <n v="244024"/>
    <n v="68"/>
    <n v="93"/>
    <x v="0"/>
    <n v="161"/>
    <x v="66"/>
    <n v="1412049.6617647058"/>
    <n v="96526877"/>
    <n v="-507500"/>
    <n v="0.48862370769183389"/>
    <n v="8.4533270820951065E-2"/>
    <n v="0.4295870092970922"/>
    <n v="2.5414037002135519E-3"/>
    <x v="0"/>
  </r>
  <r>
    <s v="CIN"/>
    <x v="14"/>
    <x v="11"/>
    <x v="36"/>
    <x v="139"/>
    <n v="64567947"/>
    <n v="16021450"/>
    <n v="15403006"/>
    <n v="443600"/>
    <n v="68"/>
    <n v="94"/>
    <x v="0"/>
    <n v="162"/>
    <x v="31"/>
    <n v="1418176.5147058824"/>
    <n v="96436003"/>
    <n v="0"/>
    <n v="0.66954192408824742"/>
    <n v="0.16613556660991019"/>
    <n v="0.15972256751454122"/>
    <n v="4.5999417873011598E-3"/>
    <x v="0"/>
  </r>
  <r>
    <s v="MIA"/>
    <x v="4"/>
    <x v="7"/>
    <x v="10"/>
    <x v="140"/>
    <n v="11473396"/>
    <n v="19701083"/>
    <n v="64284585"/>
    <n v="4131241"/>
    <n v="62"/>
    <n v="100"/>
    <x v="0"/>
    <n v="162"/>
    <x v="6"/>
    <n v="1557908.1451612904"/>
    <n v="99590305"/>
    <n v="-3000000"/>
    <n v="0.11878413677231892"/>
    <n v="0.20396542903555381"/>
    <n v="0.66553868941608585"/>
    <n v="4.2770762552204383E-2"/>
    <x v="0"/>
  </r>
  <r>
    <s v="KC"/>
    <x v="5"/>
    <x v="5"/>
    <x v="37"/>
    <x v="141"/>
    <n v="90536848"/>
    <n v="0"/>
    <n v="4686452"/>
    <n v="1380000"/>
    <n v="89"/>
    <n v="73"/>
    <x v="2"/>
    <n v="162"/>
    <x v="67"/>
    <n v="1085430.3370786516"/>
    <n v="96603300"/>
    <n v="0"/>
    <n v="0.93720243511350021"/>
    <n v="0"/>
    <n v="4.851233860540996E-2"/>
    <n v="1.4285226281089776E-2"/>
    <x v="1"/>
  </r>
  <r>
    <s v="COL"/>
    <x v="20"/>
    <x v="5"/>
    <x v="8"/>
    <x v="142"/>
    <n v="96456583"/>
    <n v="0"/>
    <n v="202995"/>
    <n v="112787"/>
    <n v="66"/>
    <n v="96"/>
    <x v="0"/>
    <n v="162"/>
    <x v="54"/>
    <n v="1466247.9545454546"/>
    <n v="96772365"/>
    <n v="0"/>
    <n v="0.99673685767625908"/>
    <n v="0"/>
    <n v="2.0976546351843318E-3"/>
    <n v="1.1654876885565419E-3"/>
    <x v="0"/>
  </r>
  <r>
    <s v="DET"/>
    <x v="9"/>
    <x v="7"/>
    <x v="18"/>
    <x v="143"/>
    <n v="33226992"/>
    <n v="26677166"/>
    <n v="36920494"/>
    <n v="1070295"/>
    <n v="86"/>
    <n v="76"/>
    <x v="2"/>
    <n v="162"/>
    <x v="34"/>
    <n v="1127460.6279069767"/>
    <n v="97894947"/>
    <n v="-933333"/>
    <n v="0.34268191946557325"/>
    <n v="0.27513120810880892"/>
    <n v="0.38077433405759931"/>
    <n v="1.1038337295004187E-2"/>
    <x v="1"/>
  </r>
  <r>
    <s v="TB"/>
    <x v="2"/>
    <x v="3"/>
    <x v="2"/>
    <x v="144"/>
    <n v="50869016"/>
    <n v="33372433"/>
    <n v="11455026"/>
    <n v="1470598"/>
    <n v="86"/>
    <n v="76"/>
    <x v="2"/>
    <n v="162"/>
    <x v="34"/>
    <n v="1129849.6860465116"/>
    <n v="97167073"/>
    <n v="0"/>
    <n v="0.52352113148453072"/>
    <n v="0.34345413492078741"/>
    <n v="0.11788999757150244"/>
    <n v="1.5134736023179374E-2"/>
    <x v="1"/>
  </r>
  <r>
    <s v="MIN"/>
    <x v="16"/>
    <x v="8"/>
    <x v="0"/>
    <x v="145"/>
    <n v="66477950"/>
    <n v="24241532"/>
    <n v="3663294"/>
    <n v="2861681"/>
    <n v="59"/>
    <n v="103"/>
    <x v="0"/>
    <n v="162"/>
    <x v="68"/>
    <n v="1648211.1355932204"/>
    <n v="97244457"/>
    <n v="0"/>
    <n v="0.68361685643429526"/>
    <n v="0.24928446050143505"/>
    <n v="3.7670980053906823E-2"/>
    <n v="2.9427703010362842E-2"/>
    <x v="0"/>
  </r>
  <r>
    <s v="ARI"/>
    <x v="18"/>
    <x v="8"/>
    <x v="18"/>
    <x v="146"/>
    <n v="78823003"/>
    <n v="1051200"/>
    <n v="17455091"/>
    <n v="545188"/>
    <n v="69"/>
    <n v="93"/>
    <x v="0"/>
    <n v="162"/>
    <x v="28"/>
    <n v="1418470.7536231885"/>
    <n v="97874482"/>
    <n v="0"/>
    <n v="0.80534784337351584"/>
    <n v="1.0740286727647765E-2"/>
    <n v="0.17834159265333327"/>
    <n v="5.5702772455030721E-3"/>
    <x v="0"/>
  </r>
  <r>
    <s v="ATL"/>
    <x v="17"/>
    <x v="6"/>
    <x v="17"/>
    <x v="147"/>
    <n v="86492616"/>
    <n v="0"/>
    <n v="11435440"/>
    <n v="0"/>
    <n v="94"/>
    <n v="68"/>
    <x v="2"/>
    <n v="162"/>
    <x v="26"/>
    <n v="1041787.8297872341"/>
    <n v="97928056"/>
    <n v="0"/>
    <n v="0.8832261104008845"/>
    <n v="0"/>
    <n v="0.1167738895991155"/>
    <n v="0"/>
    <x v="1"/>
  </r>
  <r>
    <s v="WSH"/>
    <x v="24"/>
    <x v="6"/>
    <x v="20"/>
    <x v="148"/>
    <n v="95623594"/>
    <n v="0"/>
    <n v="420765"/>
    <n v="2000000"/>
    <n v="98"/>
    <n v="64"/>
    <x v="1"/>
    <n v="162"/>
    <x v="69"/>
    <n v="1000452.6428571428"/>
    <n v="98044359"/>
    <n v="0"/>
    <n v="0.97530949230847641"/>
    <n v="0"/>
    <n v="4.2915778561008287E-3"/>
    <n v="2.0398929835422758E-2"/>
    <x v="1"/>
  </r>
  <r>
    <s v="MIA"/>
    <x v="4"/>
    <x v="6"/>
    <x v="15"/>
    <x v="149"/>
    <n v="80745905"/>
    <n v="0"/>
    <n v="17249970"/>
    <n v="124316"/>
    <n v="69"/>
    <n v="93"/>
    <x v="0"/>
    <n v="162"/>
    <x v="28"/>
    <n v="1422031.7536231885"/>
    <n v="98120191"/>
    <n v="0"/>
    <n v="0.82292853465807048"/>
    <n v="0"/>
    <n v="0.17580448859908965"/>
    <n v="1.2669767428398096E-3"/>
    <x v="0"/>
  </r>
  <r>
    <s v="OAK"/>
    <x v="6"/>
    <x v="10"/>
    <x v="24"/>
    <x v="150"/>
    <n v="83509128"/>
    <n v="622664"/>
    <n v="13870505"/>
    <n v="642234"/>
    <n v="97"/>
    <n v="65"/>
    <x v="2"/>
    <n v="162"/>
    <x v="53"/>
    <n v="1016953.9278350516"/>
    <n v="98644531"/>
    <n v="0"/>
    <n v="0.84656622271335047"/>
    <n v="6.3121999130392745E-3"/>
    <n v="0.14061098835778335"/>
    <n v="6.5105890158269394E-3"/>
    <x v="1"/>
  </r>
  <r>
    <s v="ATL"/>
    <x v="17"/>
    <x v="4"/>
    <x v="37"/>
    <x v="151"/>
    <n v="98521630"/>
    <n v="0"/>
    <n v="174600"/>
    <n v="0"/>
    <n v="89"/>
    <n v="73"/>
    <x v="0"/>
    <n v="162"/>
    <x v="67"/>
    <n v="1108946.404494382"/>
    <n v="98696230"/>
    <n v="0"/>
    <n v="0.99823093546734254"/>
    <n v="0"/>
    <n v="1.7690645326574278E-3"/>
    <n v="0"/>
    <x v="0"/>
  </r>
  <r>
    <s v="MIL"/>
    <x v="8"/>
    <x v="2"/>
    <x v="33"/>
    <x v="152"/>
    <n v="79937621"/>
    <n v="3109474"/>
    <n v="10266654"/>
    <n v="6217716"/>
    <n v="95"/>
    <n v="67"/>
    <x v="1"/>
    <n v="162"/>
    <x v="70"/>
    <n v="1046078.052631579"/>
    <n v="99531465"/>
    <n v="-154050"/>
    <n v="0.80438418527992506"/>
    <n v="3.1289544007559462E-2"/>
    <n v="0.10330973088804936"/>
    <n v="6.2566690832117133E-2"/>
    <x v="1"/>
  </r>
  <r>
    <s v="PIT"/>
    <x v="1"/>
    <x v="13"/>
    <x v="34"/>
    <x v="153"/>
    <n v="78904030"/>
    <n v="14318868"/>
    <n v="2759768"/>
    <n v="452940"/>
    <n v="98"/>
    <n v="64"/>
    <x v="2"/>
    <n v="162"/>
    <x v="69"/>
    <n v="1014649.0408163265"/>
    <n v="96435606"/>
    <n v="3000000"/>
    <n v="0.79351887290755785"/>
    <n v="0.14400141534813998"/>
    <n v="2.7754323737917381E-2"/>
    <n v="4.5551087605379507E-3"/>
    <x v="1"/>
  </r>
  <r>
    <s v="PIT"/>
    <x v="1"/>
    <x v="8"/>
    <x v="25"/>
    <x v="154"/>
    <n v="57311465"/>
    <n v="10861276"/>
    <n v="31267751"/>
    <n v="77644"/>
    <n v="78"/>
    <n v="83"/>
    <x v="0"/>
    <n v="161"/>
    <x v="71"/>
    <n v="1275873.5384615385"/>
    <n v="99518136"/>
    <n v="0"/>
    <n v="0.57588965492681654"/>
    <n v="0.10913865991219932"/>
    <n v="0.31419148566046295"/>
    <n v="7.8019950052119142E-4"/>
    <x v="0"/>
  </r>
  <r>
    <s v="HOU"/>
    <x v="3"/>
    <x v="8"/>
    <x v="9"/>
    <x v="155"/>
    <n v="75441606"/>
    <n v="6968124"/>
    <n v="15955584"/>
    <n v="2113693"/>
    <n v="84"/>
    <n v="78"/>
    <x v="0"/>
    <n v="162"/>
    <x v="72"/>
    <n v="1188437.4047619049"/>
    <n v="100479007"/>
    <n v="-650265"/>
    <n v="0.75571027430156335"/>
    <n v="6.9800779418817072E-2"/>
    <n v="0.15982956090942227"/>
    <n v="2.1173190783071272E-2"/>
    <x v="0"/>
  </r>
  <r>
    <s v="CIN"/>
    <x v="14"/>
    <x v="7"/>
    <x v="32"/>
    <x v="156"/>
    <n v="52050116"/>
    <n v="22271250"/>
    <n v="20560145"/>
    <n v="1573344"/>
    <n v="77"/>
    <n v="85"/>
    <x v="0"/>
    <n v="162"/>
    <x v="17"/>
    <n v="1302011.1038961038"/>
    <n v="96454855"/>
    <n v="3800000"/>
    <n v="0.51917800888545496"/>
    <n v="0.22214634892245369"/>
    <n v="0.20507879643334978"/>
    <n v="1.5693444472090652E-2"/>
    <x v="0"/>
  </r>
  <r>
    <s v="CIN"/>
    <x v="14"/>
    <x v="12"/>
    <x v="10"/>
    <x v="157"/>
    <n v="82511299"/>
    <n v="1344890"/>
    <n v="15242487"/>
    <n v="1207092"/>
    <n v="67"/>
    <n v="95"/>
    <x v="0"/>
    <n v="162"/>
    <x v="25"/>
    <n v="1497101.014925373"/>
    <n v="100305768"/>
    <n v="0"/>
    <n v="0.82259774931387797"/>
    <n v="1.3407902923389212E-2"/>
    <n v="0.15196022426148015"/>
    <n v="1.2034123501252689E-2"/>
    <x v="0"/>
  </r>
  <r>
    <s v="BAL"/>
    <x v="0"/>
    <x v="1"/>
    <x v="16"/>
    <x v="158"/>
    <n v="97466019"/>
    <n v="0"/>
    <n v="1222009"/>
    <n v="42841"/>
    <n v="85"/>
    <n v="77"/>
    <x v="0"/>
    <n v="162"/>
    <x v="57"/>
    <n v="1181539.6352941177"/>
    <n v="98730869"/>
    <n v="1700000"/>
    <n v="0.97047869813811927"/>
    <n v="0"/>
    <n v="1.216766331076952E-2"/>
    <n v="4.2657203334564396E-4"/>
    <x v="0"/>
  </r>
  <r>
    <s v="PIT"/>
    <x v="1"/>
    <x v="11"/>
    <x v="12"/>
    <x v="159"/>
    <n v="66496313"/>
    <n v="16750000"/>
    <n v="14381028"/>
    <n v="125689"/>
    <n v="75"/>
    <n v="87"/>
    <x v="0"/>
    <n v="162"/>
    <x v="43"/>
    <n v="1340040.3999999999"/>
    <n v="97753030"/>
    <n v="2750000"/>
    <n v="0.66163490792267654"/>
    <n v="0.16666164194253646"/>
    <n v="0.14309049189860246"/>
    <n v="1.2505991112904756E-3"/>
    <x v="0"/>
  </r>
  <r>
    <s v="SEA"/>
    <x v="11"/>
    <x v="4"/>
    <x v="5"/>
    <x v="160"/>
    <n v="88307834"/>
    <n v="0"/>
    <n v="12521314"/>
    <n v="0"/>
    <n v="67"/>
    <n v="95"/>
    <x v="0"/>
    <n v="162"/>
    <x v="25"/>
    <n v="1504912.656716418"/>
    <n v="100829148"/>
    <n v="0"/>
    <n v="0.87581652480094352"/>
    <n v="0"/>
    <n v="0.12418347519905652"/>
    <n v="0"/>
    <x v="0"/>
  </r>
  <r>
    <s v="COL"/>
    <x v="20"/>
    <x v="13"/>
    <x v="11"/>
    <x v="161"/>
    <n v="74930648"/>
    <n v="6103870"/>
    <n v="19940868"/>
    <n v="301665"/>
    <n v="68"/>
    <n v="94"/>
    <x v="0"/>
    <n v="162"/>
    <x v="31"/>
    <n v="1489368.3970588236"/>
    <n v="101277051"/>
    <n v="0"/>
    <n v="0.73985811454956363"/>
    <n v="6.0269033702412995E-2"/>
    <n v="0.19689424013738316"/>
    <n v="2.9786116106402033E-3"/>
    <x v="0"/>
  </r>
  <r>
    <s v="NYM"/>
    <x v="25"/>
    <x v="1"/>
    <x v="25"/>
    <x v="162"/>
    <n v="70361236"/>
    <n v="500625"/>
    <n v="29697743"/>
    <n v="741210"/>
    <n v="74"/>
    <n v="88"/>
    <x v="0"/>
    <n v="162"/>
    <x v="48"/>
    <n v="1368929.9189189188"/>
    <n v="101300814"/>
    <n v="0"/>
    <n v="0.69457720250895516"/>
    <n v="4.9419642373258717E-3"/>
    <n v="0.29316391277961495"/>
    <n v="7.3169204741039889E-3"/>
    <x v="0"/>
  </r>
  <r>
    <s v="SD"/>
    <x v="10"/>
    <x v="12"/>
    <x v="18"/>
    <x v="163"/>
    <n v="50099477"/>
    <n v="5702300"/>
    <n v="44479430"/>
    <n v="934608"/>
    <n v="66"/>
    <n v="96"/>
    <x v="0"/>
    <n v="162"/>
    <x v="54"/>
    <n v="1541830.5303030303"/>
    <n v="101215815"/>
    <n v="545000"/>
    <n v="0.49232582305870881"/>
    <n v="5.6036304347601776E-2"/>
    <n v="0.4370978160896215"/>
    <n v="9.1843604043462118E-3"/>
    <x v="0"/>
  </r>
  <r>
    <s v="ARI"/>
    <x v="18"/>
    <x v="11"/>
    <x v="32"/>
    <x v="164"/>
    <n v="81644775"/>
    <n v="19379200"/>
    <n v="1572116"/>
    <n v="23384"/>
    <n v="93"/>
    <n v="69"/>
    <x v="2"/>
    <n v="162"/>
    <x v="55"/>
    <n v="1103435.2150537635"/>
    <n v="102619475"/>
    <n v="0"/>
    <n v="0.79560702293594854"/>
    <n v="0.18884524599253699"/>
    <n v="1.5319860094782204E-2"/>
    <n v="2.2787097673224307E-4"/>
    <x v="1"/>
  </r>
  <r>
    <s v="CHC"/>
    <x v="27"/>
    <x v="1"/>
    <x v="9"/>
    <x v="165"/>
    <n v="55657243"/>
    <n v="2263715"/>
    <n v="40905330"/>
    <n v="4326611"/>
    <n v="66"/>
    <n v="96"/>
    <x v="0"/>
    <n v="162"/>
    <x v="54"/>
    <n v="1562922.7121212122"/>
    <n v="103152899"/>
    <n v="0"/>
    <n v="0.53956062834453156"/>
    <n v="2.1945238785775666E-2"/>
    <n v="0.39655046437424896"/>
    <n v="4.1943668495443835E-2"/>
    <x v="0"/>
  </r>
  <r>
    <s v="TEX"/>
    <x v="15"/>
    <x v="4"/>
    <x v="25"/>
    <x v="166"/>
    <n v="98857920"/>
    <n v="0"/>
    <n v="4468801"/>
    <n v="0"/>
    <n v="96"/>
    <n v="66"/>
    <x v="1"/>
    <n v="162"/>
    <x v="33"/>
    <n v="1076320.0104166667"/>
    <n v="103326721"/>
    <n v="0"/>
    <n v="0.95675077117757368"/>
    <n v="0"/>
    <n v="4.3249228822426294E-2"/>
    <n v="0"/>
    <x v="1"/>
  </r>
  <r>
    <s v="SD"/>
    <x v="10"/>
    <x v="10"/>
    <x v="27"/>
    <x v="167"/>
    <n v="65446794"/>
    <n v="10746013"/>
    <n v="25368956"/>
    <n v="2138027"/>
    <n v="70"/>
    <n v="92"/>
    <x v="0"/>
    <n v="162"/>
    <x v="20"/>
    <n v="1481425.5714285714"/>
    <n v="103699790"/>
    <n v="0"/>
    <n v="0.63111790293885839"/>
    <n v="0.10362617899226219"/>
    <n v="0.24463845105182952"/>
    <n v="2.061746701704989E-2"/>
    <x v="0"/>
  </r>
  <r>
    <s v="CIN"/>
    <x v="14"/>
    <x v="1"/>
    <x v="32"/>
    <x v="168"/>
    <n v="97930597"/>
    <n v="4500000"/>
    <n v="0"/>
    <n v="1374043"/>
    <n v="90"/>
    <n v="72"/>
    <x v="2"/>
    <n v="162"/>
    <x v="36"/>
    <n v="1153384.888888889"/>
    <n v="103804640"/>
    <n v="0"/>
    <n v="0.9434125199027712"/>
    <n v="4.3350663322949727E-2"/>
    <n v="0"/>
    <n v="1.3236816774279068E-2"/>
    <x v="1"/>
  </r>
  <r>
    <s v="PHI"/>
    <x v="23"/>
    <x v="8"/>
    <x v="9"/>
    <x v="169"/>
    <n v="53797706"/>
    <n v="22025303"/>
    <n v="21909132"/>
    <n v="6166668"/>
    <n v="71"/>
    <n v="91"/>
    <x v="0"/>
    <n v="162"/>
    <x v="15"/>
    <n v="1463363.5070422536"/>
    <n v="103898809"/>
    <n v="0"/>
    <n v="0.51778943876055405"/>
    <n v="0.21198802192236871"/>
    <n v="0.21086990515935558"/>
    <n v="5.935263415772167E-2"/>
    <x v="0"/>
  </r>
  <r>
    <s v="WSH"/>
    <x v="24"/>
    <x v="7"/>
    <x v="5"/>
    <x v="170"/>
    <n v="60351144"/>
    <n v="26347303"/>
    <n v="14212004"/>
    <n v="2847990"/>
    <n v="71"/>
    <n v="91"/>
    <x v="0"/>
    <n v="162"/>
    <x v="15"/>
    <n v="1464019.8169014084"/>
    <n v="103758441"/>
    <n v="186966"/>
    <n v="0.58060423968516472"/>
    <n v="0.2534725079290901"/>
    <n v="0.13672565638229692"/>
    <n v="2.7398901810062663E-2"/>
    <x v="0"/>
  </r>
  <r>
    <s v="KC"/>
    <x v="5"/>
    <x v="10"/>
    <x v="31"/>
    <x v="171"/>
    <n v="68625332"/>
    <n v="11895598"/>
    <n v="23207385"/>
    <n v="244688"/>
    <n v="59"/>
    <n v="103"/>
    <x v="0"/>
    <n v="162"/>
    <x v="68"/>
    <n v="1762254.2881355933"/>
    <n v="103973003"/>
    <n v="0"/>
    <n v="0.66003029651841449"/>
    <n v="0.11441044941252683"/>
    <n v="0.22320587393248612"/>
    <n v="2.3533801365725679E-3"/>
    <x v="0"/>
  </r>
  <r>
    <s v="PHI"/>
    <x v="23"/>
    <x v="11"/>
    <x v="36"/>
    <x v="172"/>
    <n v="28213540"/>
    <n v="16578578"/>
    <n v="58889622"/>
    <n v="339068"/>
    <n v="66"/>
    <n v="96"/>
    <x v="0"/>
    <n v="162"/>
    <x v="54"/>
    <n v="1576072.8484848484"/>
    <n v="104020808"/>
    <n v="0"/>
    <n v="0.27122977164338119"/>
    <n v="0.15937751608312828"/>
    <n v="0.56613309521687238"/>
    <n v="3.2596170566181336E-3"/>
    <x v="0"/>
  </r>
  <r>
    <s v="PHI"/>
    <x v="23"/>
    <x v="12"/>
    <x v="0"/>
    <x v="173"/>
    <n v="97016347"/>
    <n v="0"/>
    <n v="6936684"/>
    <n v="344440"/>
    <n v="80"/>
    <n v="82"/>
    <x v="0"/>
    <n v="162"/>
    <x v="19"/>
    <n v="1303718.3875"/>
    <n v="104297471"/>
    <n v="0"/>
    <n v="0.93018887294016939"/>
    <n v="0"/>
    <n v="6.6508650051543439E-2"/>
    <n v="3.3024770082871902E-3"/>
    <x v="0"/>
  </r>
  <r>
    <s v="CLE"/>
    <x v="7"/>
    <x v="8"/>
    <x v="26"/>
    <x v="174"/>
    <n v="61284062"/>
    <n v="11875000"/>
    <n v="30765065"/>
    <n v="47141"/>
    <n v="94"/>
    <n v="67"/>
    <x v="1"/>
    <n v="161"/>
    <x v="73"/>
    <n v="1116715.6170212766"/>
    <n v="103971268"/>
    <n v="1000000"/>
    <n v="0.58381748803872691"/>
    <n v="0.11312619373141229"/>
    <n v="0.29308081712416773"/>
    <n v="4.4908479146884271E-4"/>
    <x v="1"/>
  </r>
  <r>
    <s v="NYM"/>
    <x v="25"/>
    <x v="6"/>
    <x v="1"/>
    <x v="175"/>
    <n v="101049642"/>
    <n v="0"/>
    <n v="3938524"/>
    <n v="0"/>
    <n v="74"/>
    <n v="88"/>
    <x v="0"/>
    <n v="162"/>
    <x v="48"/>
    <n v="1418759"/>
    <n v="104988166"/>
    <n v="0"/>
    <n v="0.96248601961482017"/>
    <n v="0"/>
    <n v="3.7513980385179793E-2"/>
    <n v="0"/>
    <x v="0"/>
  </r>
  <r>
    <s v="CLE"/>
    <x v="7"/>
    <x v="7"/>
    <x v="6"/>
    <x v="176"/>
    <n v="50885032"/>
    <n v="21120833"/>
    <n v="22945837"/>
    <n v="10272880"/>
    <n v="92"/>
    <n v="69"/>
    <x v="1"/>
    <n v="161"/>
    <x v="74"/>
    <n v="1143745.456521739"/>
    <n v="105224582"/>
    <n v="0"/>
    <n v="0.48358502388728902"/>
    <n v="0.20072147209860144"/>
    <n v="0.21806536613279204"/>
    <n v="9.7628137881317509E-2"/>
    <x v="1"/>
  </r>
  <r>
    <s v="ATL"/>
    <x v="17"/>
    <x v="11"/>
    <x v="23"/>
    <x v="177"/>
    <n v="81963434"/>
    <n v="1997766"/>
    <n v="21037983"/>
    <n v="269392"/>
    <n v="72"/>
    <n v="90"/>
    <x v="0"/>
    <n v="162"/>
    <x v="14"/>
    <n v="1462063.5416666667"/>
    <n v="105268575"/>
    <n v="0"/>
    <n v="0.77861255365145776"/>
    <n v="1.8977800354949233E-2"/>
    <n v="0.19985055369088067"/>
    <n v="2.5590923027123715E-3"/>
    <x v="0"/>
  </r>
  <r>
    <s v="MIA"/>
    <x v="4"/>
    <x v="9"/>
    <x v="37"/>
    <x v="178"/>
    <n v="59782517"/>
    <n v="25595861"/>
    <n v="10698514"/>
    <n v="1158917"/>
    <n v="84"/>
    <n v="78"/>
    <x v="0"/>
    <n v="162"/>
    <x v="72"/>
    <n v="1255188.2023809524"/>
    <n v="97235809"/>
    <n v="8200000"/>
    <n v="0.56700391989214971"/>
    <n v="0.24276250396105939"/>
    <n v="0.10146945427240948"/>
    <n v="1.0991683100757543E-2"/>
    <x v="0"/>
  </r>
  <r>
    <s v="MIN"/>
    <x v="16"/>
    <x v="13"/>
    <x v="26"/>
    <x v="179"/>
    <n v="101448147"/>
    <n v="2070081"/>
    <n v="2200000"/>
    <n v="513590"/>
    <n v="83"/>
    <n v="79"/>
    <x v="0"/>
    <n v="162"/>
    <x v="12"/>
    <n v="1279901.4216867469"/>
    <n v="106231818"/>
    <n v="0"/>
    <n v="0.95496950828799709"/>
    <n v="1.9486449907126696E-2"/>
    <n v="2.0709426247416757E-2"/>
    <n v="4.8346155574594419E-3"/>
    <x v="0"/>
  </r>
  <r>
    <s v="ARI"/>
    <x v="18"/>
    <x v="5"/>
    <x v="5"/>
    <x v="180"/>
    <n v="67825588"/>
    <n v="9500000"/>
    <n v="28134272"/>
    <n v="333330"/>
    <n v="64"/>
    <n v="98"/>
    <x v="0"/>
    <n v="162"/>
    <x v="60"/>
    <n v="1661612.34375"/>
    <n v="105793190"/>
    <n v="550000"/>
    <n v="0.63779907298248251"/>
    <n v="8.9333411946735844E-2"/>
    <n v="0.26456110635763325"/>
    <n v="3.1344743372847851E-3"/>
    <x v="0"/>
  </r>
  <r>
    <s v="CLE"/>
    <x v="7"/>
    <x v="10"/>
    <x v="16"/>
    <x v="181"/>
    <n v="83738008"/>
    <n v="6588308"/>
    <n v="16165338"/>
    <n v="347039"/>
    <n v="93"/>
    <n v="69"/>
    <x v="0"/>
    <n v="162"/>
    <x v="55"/>
    <n v="1148803.1505376345"/>
    <n v="106838693"/>
    <n v="0"/>
    <n v="0.78377978659847514"/>
    <n v="6.1665935954495439E-2"/>
    <n v="0.1513060254303186"/>
    <n v="3.2482520167108372E-3"/>
    <x v="0"/>
  </r>
  <r>
    <s v="COL"/>
    <x v="20"/>
    <x v="8"/>
    <x v="1"/>
    <x v="182"/>
    <n v="88354041"/>
    <n v="1289832"/>
    <n v="16710362"/>
    <n v="548045"/>
    <n v="75"/>
    <n v="87"/>
    <x v="0"/>
    <n v="162"/>
    <x v="43"/>
    <n v="1425363.7333333334"/>
    <n v="106902280"/>
    <n v="0"/>
    <n v="0.82649351351533384"/>
    <n v="1.2065523766190954E-2"/>
    <n v="0.15631436485732578"/>
    <n v="5.1265978611494539E-3"/>
    <x v="0"/>
  </r>
  <r>
    <s v="SD"/>
    <x v="10"/>
    <x v="13"/>
    <x v="16"/>
    <x v="183"/>
    <n v="93212255"/>
    <n v="11029819"/>
    <n v="3267222"/>
    <n v="405976"/>
    <n v="74"/>
    <n v="88"/>
    <x v="0"/>
    <n v="162"/>
    <x v="48"/>
    <n v="1458314.4864864864"/>
    <n v="107915272"/>
    <n v="0"/>
    <n v="0.86375406624560058"/>
    <n v="0.10220813788061434"/>
    <n v="3.0275807487192361E-2"/>
    <n v="3.7619883865927708E-3"/>
    <x v="0"/>
  </r>
  <r>
    <s v="MIN"/>
    <x v="16"/>
    <x v="6"/>
    <x v="16"/>
    <x v="184"/>
    <n v="107939507"/>
    <n v="0"/>
    <n v="0"/>
    <n v="0"/>
    <n v="66"/>
    <n v="96"/>
    <x v="0"/>
    <n v="162"/>
    <x v="54"/>
    <n v="1635447.0757575757"/>
    <n v="107939507"/>
    <n v="0"/>
    <n v="1"/>
    <n v="0"/>
    <n v="0"/>
    <n v="0"/>
    <x v="0"/>
  </r>
  <r>
    <s v="MIL"/>
    <x v="8"/>
    <x v="5"/>
    <x v="32"/>
    <x v="185"/>
    <n v="108174589"/>
    <n v="0"/>
    <n v="520491"/>
    <n v="81966"/>
    <n v="82"/>
    <n v="80"/>
    <x v="0"/>
    <n v="162"/>
    <x v="65"/>
    <n v="1326549.3414634147"/>
    <n v="108777046"/>
    <n v="0"/>
    <n v="0.99446154292514988"/>
    <n v="0"/>
    <n v="4.7849341303127504E-3"/>
    <n v="7.5352294453739812E-4"/>
    <x v="0"/>
  </r>
  <r>
    <s v="CHW"/>
    <x v="12"/>
    <x v="6"/>
    <x v="2"/>
    <x v="186"/>
    <n v="108119744"/>
    <n v="0"/>
    <n v="721311"/>
    <n v="0"/>
    <n v="85"/>
    <n v="77"/>
    <x v="0"/>
    <n v="162"/>
    <x v="57"/>
    <n v="1280483"/>
    <n v="108841055"/>
    <n v="0"/>
    <n v="0.99337280403979911"/>
    <n v="0"/>
    <n v="6.6271959602008639E-3"/>
    <n v="0"/>
    <x v="0"/>
  </r>
  <r>
    <s v="MIL"/>
    <x v="8"/>
    <x v="12"/>
    <x v="28"/>
    <x v="187"/>
    <n v="87588839"/>
    <n v="7321500"/>
    <n v="11383150"/>
    <n v="388527"/>
    <n v="96"/>
    <n v="67"/>
    <x v="1"/>
    <n v="163"/>
    <x v="75"/>
    <n v="1135229.3333333333"/>
    <n v="106682016"/>
    <n v="2300000"/>
    <n v="0.803699933390845"/>
    <n v="6.7180808987787485E-2"/>
    <n v="0.10444980206642535"/>
    <n v="3.5650560914564106E-3"/>
    <x v="1"/>
  </r>
  <r>
    <s v="BAL"/>
    <x v="0"/>
    <x v="7"/>
    <x v="17"/>
    <x v="188"/>
    <n v="65994548"/>
    <n v="10808540"/>
    <n v="30650082"/>
    <n v="1882324"/>
    <n v="91"/>
    <n v="71"/>
    <x v="2"/>
    <n v="162"/>
    <x v="13"/>
    <n v="1201488.9450549451"/>
    <n v="109335494"/>
    <n v="0"/>
    <n v="0.60359674233511029"/>
    <n v="9.8856643936689026E-2"/>
    <n v="0.28033057590611882"/>
    <n v="1.7216037822081819E-2"/>
    <x v="1"/>
  </r>
  <r>
    <s v="NYM"/>
    <x v="25"/>
    <x v="13"/>
    <x v="32"/>
    <x v="189"/>
    <n v="103930260"/>
    <n v="5551249"/>
    <n v="129200"/>
    <n v="476251"/>
    <n v="90"/>
    <n v="72"/>
    <x v="1"/>
    <n v="162"/>
    <x v="36"/>
    <n v="1226654.7444444445"/>
    <n v="110086960"/>
    <n v="311967"/>
    <n v="0.94140643232882149"/>
    <n v="5.0283541252171771E-2"/>
    <n v="1.1703012294675653E-3"/>
    <n v="4.3139096813866679E-3"/>
    <x v="1"/>
  </r>
  <r>
    <s v="MIA"/>
    <x v="4"/>
    <x v="11"/>
    <x v="33"/>
    <x v="190"/>
    <n v="72360311"/>
    <n v="21441206"/>
    <n v="13782819"/>
    <n v="3181263"/>
    <n v="77"/>
    <n v="85"/>
    <x v="0"/>
    <n v="162"/>
    <x v="17"/>
    <n v="1438514.2727272727"/>
    <n v="110765599"/>
    <n v="0"/>
    <n v="0.65327422641392474"/>
    <n v="0.19357278968897193"/>
    <n v="0.12443230682118191"/>
    <n v="2.872067707592138E-2"/>
    <x v="0"/>
  </r>
  <r>
    <s v="SEA"/>
    <x v="11"/>
    <x v="3"/>
    <x v="16"/>
    <x v="191"/>
    <n v="77183408"/>
    <n v="9896644"/>
    <n v="13680533"/>
    <n v="2315822"/>
    <n v="90"/>
    <n v="72"/>
    <x v="2"/>
    <n v="162"/>
    <x v="36"/>
    <n v="1231404.5222222223"/>
    <n v="103076407"/>
    <n v="7750000"/>
    <n v="0.6964351736134512"/>
    <n v="8.9298609130222903E-2"/>
    <n v="0.12344109468422991"/>
    <n v="2.0895940441342648E-2"/>
    <x v="1"/>
  </r>
  <r>
    <s v="ATL"/>
    <x v="17"/>
    <x v="13"/>
    <x v="10"/>
    <x v="192"/>
    <n v="55097676"/>
    <n v="11263899"/>
    <n v="44307649"/>
    <n v="244042"/>
    <n v="67"/>
    <n v="95"/>
    <x v="0"/>
    <n v="162"/>
    <x v="25"/>
    <n v="1655421.8805970149"/>
    <n v="110913266"/>
    <n v="0"/>
    <n v="0.49676362428999249"/>
    <n v="0.10155592208419865"/>
    <n v="0.3994801577657987"/>
    <n v="2.2002958600101092E-3"/>
    <x v="0"/>
  </r>
  <r>
    <s v="TOR"/>
    <x v="13"/>
    <x v="10"/>
    <x v="38"/>
    <x v="193"/>
    <n v="36637976"/>
    <n v="8512071"/>
    <n v="65351162"/>
    <n v="584930"/>
    <n v="67"/>
    <n v="95"/>
    <x v="0"/>
    <n v="162"/>
    <x v="25"/>
    <n v="1658002.0746268656"/>
    <n v="111086139"/>
    <n v="0"/>
    <n v="0.32981590979591074"/>
    <n v="7.6625860585540745E-2"/>
    <n v="0.58829267619068115"/>
    <n v="5.2655534278673597E-3"/>
    <x v="0"/>
  </r>
  <r>
    <s v="DET"/>
    <x v="9"/>
    <x v="4"/>
    <x v="16"/>
    <x v="194"/>
    <n v="111271015"/>
    <n v="0"/>
    <n v="250000"/>
    <n v="0"/>
    <n v="95"/>
    <n v="67"/>
    <x v="1"/>
    <n v="162"/>
    <x v="70"/>
    <n v="1173905.4210526317"/>
    <n v="111521015"/>
    <n v="0"/>
    <n v="0.99775827004443962"/>
    <n v="0"/>
    <n v="2.2417299555603939E-3"/>
    <n v="0"/>
    <x v="1"/>
  </r>
  <r>
    <s v="CHW"/>
    <x v="12"/>
    <x v="1"/>
    <x v="5"/>
    <x v="195"/>
    <n v="82929539"/>
    <n v="0"/>
    <n v="28663303"/>
    <n v="184753"/>
    <n v="63"/>
    <n v="99"/>
    <x v="0"/>
    <n v="162"/>
    <x v="76"/>
    <n v="1774247.5396825396"/>
    <n v="111777595"/>
    <n v="0"/>
    <n v="0.74191557798322638"/>
    <n v="0"/>
    <n v="0.25643155947307689"/>
    <n v="1.6528625436967041E-3"/>
    <x v="0"/>
  </r>
  <r>
    <s v="NYY"/>
    <x v="28"/>
    <x v="0"/>
    <x v="30"/>
    <x v="196"/>
    <n v="77215694"/>
    <n v="9920725"/>
    <n v="23982977"/>
    <n v="819685"/>
    <n v="33"/>
    <n v="27"/>
    <x v="2"/>
    <n v="60"/>
    <x v="77"/>
    <n v="3392093.3636363638"/>
    <n v="111939081"/>
    <n v="0"/>
    <n v="0.68980103561865047"/>
    <n v="8.8626107266326401E-2"/>
    <n v="0.21425025813817428"/>
    <n v="7.3225989768488453E-3"/>
    <x v="1"/>
  </r>
  <r>
    <s v="CIN"/>
    <x v="14"/>
    <x v="13"/>
    <x v="1"/>
    <x v="197"/>
    <n v="68445559"/>
    <n v="22890777"/>
    <n v="20832787"/>
    <n v="163974"/>
    <n v="64"/>
    <n v="98"/>
    <x v="0"/>
    <n v="162"/>
    <x v="60"/>
    <n v="1755204.640625"/>
    <n v="112333097"/>
    <n v="0"/>
    <n v="0.60930892878347331"/>
    <n v="0.20377589162346338"/>
    <n v="0.18545546732322354"/>
    <n v="1.4597122698397605E-3"/>
    <x v="0"/>
  </r>
  <r>
    <s v="MIL"/>
    <x v="8"/>
    <x v="6"/>
    <x v="12"/>
    <x v="198"/>
    <n v="110652079"/>
    <n v="0"/>
    <n v="2443716"/>
    <n v="0"/>
    <n v="83"/>
    <n v="79"/>
    <x v="0"/>
    <n v="162"/>
    <x v="12"/>
    <n v="1362599.9397590361"/>
    <n v="113095795"/>
    <n v="0"/>
    <n v="0.97839251229455526"/>
    <n v="0"/>
    <n v="2.1607487705444753E-2"/>
    <n v="0"/>
    <x v="0"/>
  </r>
  <r>
    <s v="CIN"/>
    <x v="14"/>
    <x v="5"/>
    <x v="2"/>
    <x v="199"/>
    <n v="99729931"/>
    <n v="5500000"/>
    <n v="6890711"/>
    <n v="1744338"/>
    <n v="76"/>
    <n v="86"/>
    <x v="0"/>
    <n v="162"/>
    <x v="32"/>
    <n v="1491464.7105263157"/>
    <n v="113864980"/>
    <n v="-513662"/>
    <n v="0.87983036068446951"/>
    <n v="4.8521711939864695E-2"/>
    <n v="6.0790744400519452E-2"/>
    <n v="1.5388775629410855E-2"/>
    <x v="0"/>
  </r>
  <r>
    <s v="BAL"/>
    <x v="0"/>
    <x v="5"/>
    <x v="25"/>
    <x v="200"/>
    <n v="108470318"/>
    <n v="0"/>
    <n v="2282926"/>
    <n v="2809699"/>
    <n v="96"/>
    <n v="66"/>
    <x v="1"/>
    <n v="162"/>
    <x v="33"/>
    <n v="1182947.3229166667"/>
    <n v="113562943"/>
    <n v="0"/>
    <n v="0.95515592617214928"/>
    <n v="0"/>
    <n v="2.0102737210676198E-2"/>
    <n v="2.4741336617174495E-2"/>
    <x v="1"/>
  </r>
  <r>
    <s v="MIL"/>
    <x v="8"/>
    <x v="7"/>
    <x v="2"/>
    <x v="201"/>
    <n v="71398748"/>
    <n v="34433308"/>
    <n v="6151779"/>
    <n v="2239544"/>
    <n v="93"/>
    <n v="69"/>
    <x v="1"/>
    <n v="162"/>
    <x v="55"/>
    <n v="1228208.3763440861"/>
    <n v="114223379"/>
    <n v="0"/>
    <n v="0.62507998472011583"/>
    <n v="0.30145586920520012"/>
    <n v="5.3857441916509929E-2"/>
    <n v="1.9606704158174133E-2"/>
    <x v="1"/>
  </r>
  <r>
    <s v="MIN"/>
    <x v="16"/>
    <x v="4"/>
    <x v="1"/>
    <x v="202"/>
    <n v="107337033"/>
    <n v="0"/>
    <n v="7108594"/>
    <n v="0"/>
    <n v="63"/>
    <n v="99"/>
    <x v="0"/>
    <n v="162"/>
    <x v="76"/>
    <n v="1816597.253968254"/>
    <n v="114445627"/>
    <n v="0"/>
    <n v="0.93788671366185095"/>
    <n v="0"/>
    <n v="6.2113286338149033E-2"/>
    <n v="0"/>
    <x v="0"/>
  </r>
  <r>
    <s v="DET"/>
    <x v="9"/>
    <x v="10"/>
    <x v="9"/>
    <x v="203"/>
    <n v="72709746"/>
    <n v="14738806"/>
    <n v="26148511"/>
    <n v="1034074"/>
    <n v="47"/>
    <n v="114"/>
    <x v="0"/>
    <n v="161"/>
    <x v="78"/>
    <n v="2438960.3617021278"/>
    <n v="114631137"/>
    <n v="0"/>
    <n v="0.63429315893464444"/>
    <n v="0.12857593831595687"/>
    <n v="0.22811002040396755"/>
    <n v="9.0208823454311551E-3"/>
    <x v="0"/>
  </r>
  <r>
    <s v="LAD"/>
    <x v="29"/>
    <x v="4"/>
    <x v="28"/>
    <x v="204"/>
    <n v="98385517"/>
    <n v="0"/>
    <n v="16789000"/>
    <n v="0"/>
    <n v="82"/>
    <n v="79"/>
    <x v="0"/>
    <n v="161"/>
    <x v="61"/>
    <n v="1404567.2804878049"/>
    <n v="115174517"/>
    <n v="0"/>
    <n v="0.85422990747163285"/>
    <n v="0"/>
    <n v="0.1457700925283672"/>
    <n v="0"/>
    <x v="0"/>
  </r>
  <r>
    <s v="MIL"/>
    <x v="8"/>
    <x v="9"/>
    <x v="33"/>
    <x v="205"/>
    <n v="86339557"/>
    <n v="11924851"/>
    <n v="13590062"/>
    <n v="3260808"/>
    <n v="92"/>
    <n v="70"/>
    <x v="1"/>
    <n v="162"/>
    <x v="35"/>
    <n v="1254492.8804347827"/>
    <n v="115115278"/>
    <n v="298067"/>
    <n v="0.74808989376401835"/>
    <n v="0.10332298227730943"/>
    <n v="0.11775121845744961"/>
    <n v="2.825330121053159E-2"/>
    <x v="1"/>
  </r>
  <r>
    <s v="CIN"/>
    <x v="14"/>
    <x v="3"/>
    <x v="2"/>
    <x v="206"/>
    <n v="22546012"/>
    <n v="61180258"/>
    <n v="30148483"/>
    <n v="1542568"/>
    <n v="62"/>
    <n v="100"/>
    <x v="0"/>
    <n v="162"/>
    <x v="6"/>
    <n v="1861569.6935483871"/>
    <n v="115417321"/>
    <n v="0"/>
    <n v="0.19534340084015639"/>
    <n v="0.5300786525793646"/>
    <n v="0.26121281224332005"/>
    <n v="1.3365134337158979E-2"/>
    <x v="0"/>
  </r>
  <r>
    <s v="MIN"/>
    <x v="16"/>
    <x v="12"/>
    <x v="11"/>
    <x v="207"/>
    <n v="56254373"/>
    <n v="29213890"/>
    <n v="29264527"/>
    <n v="776730"/>
    <n v="78"/>
    <n v="84"/>
    <x v="0"/>
    <n v="162"/>
    <x v="79"/>
    <n v="1480891.282051282"/>
    <n v="115509520"/>
    <n v="0"/>
    <n v="0.4870107069962718"/>
    <n v="0.25291326636973299"/>
    <n v="0.25335164582105441"/>
    <n v="6.7243808129407862E-3"/>
    <x v="0"/>
  </r>
  <r>
    <s v="SEA"/>
    <x v="11"/>
    <x v="5"/>
    <x v="23"/>
    <x v="208"/>
    <n v="100330060"/>
    <n v="0"/>
    <n v="12504114"/>
    <n v="1700000"/>
    <n v="87"/>
    <n v="75"/>
    <x v="0"/>
    <n v="162"/>
    <x v="80"/>
    <n v="1327979.0114942528"/>
    <n v="114534174"/>
    <n v="1000000"/>
    <n v="0.86840158652971366"/>
    <n v="0"/>
    <n v="0.10822870469476849"/>
    <n v="1.4714261080881575E-2"/>
    <x v="0"/>
  </r>
  <r>
    <s v="CHC"/>
    <x v="27"/>
    <x v="6"/>
    <x v="29"/>
    <x v="209"/>
    <n v="83319366"/>
    <n v="0"/>
    <n v="32542160"/>
    <n v="0"/>
    <n v="61"/>
    <n v="101"/>
    <x v="0"/>
    <n v="162"/>
    <x v="22"/>
    <n v="1899369.2786885246"/>
    <n v="115861526"/>
    <n v="0"/>
    <n v="0.71912885041752339"/>
    <n v="0"/>
    <n v="0.28087114958247661"/>
    <n v="0"/>
    <x v="0"/>
  </r>
  <r>
    <s v="COL"/>
    <x v="20"/>
    <x v="2"/>
    <x v="12"/>
    <x v="210"/>
    <n v="79695422"/>
    <n v="5931272"/>
    <n v="19571956"/>
    <n v="3010316"/>
    <n v="74"/>
    <n v="87"/>
    <x v="0"/>
    <n v="161"/>
    <x v="81"/>
    <n v="1570391.4324324324"/>
    <n v="108208966"/>
    <n v="8000000"/>
    <n v="0.68579408924437035"/>
    <n v="5.1039710653651288E-2"/>
    <n v="0.1684203609556254"/>
    <n v="2.5904335126774987E-2"/>
    <x v="0"/>
  </r>
  <r>
    <s v="BAL"/>
    <x v="0"/>
    <x v="13"/>
    <x v="23"/>
    <x v="211"/>
    <n v="97083315"/>
    <n v="1245000"/>
    <n v="17776584"/>
    <n v="295971"/>
    <n v="81"/>
    <n v="81"/>
    <x v="0"/>
    <n v="162"/>
    <x v="44"/>
    <n v="1437047.7777777778"/>
    <n v="116400870"/>
    <n v="0"/>
    <n v="0.83404286411261364"/>
    <n v="1.0695796345852054E-2"/>
    <n v="0.15271865236058801"/>
    <n v="2.5426871809463279E-3"/>
    <x v="0"/>
  </r>
  <r>
    <s v="WSH"/>
    <x v="24"/>
    <x v="1"/>
    <x v="5"/>
    <x v="212"/>
    <n v="107973970"/>
    <n v="491000"/>
    <n v="6025410"/>
    <n v="2093714"/>
    <n v="86"/>
    <n v="76"/>
    <x v="0"/>
    <n v="162"/>
    <x v="34"/>
    <n v="1355629"/>
    <n v="116584094"/>
    <n v="0"/>
    <n v="0.92614666628536824"/>
    <n v="4.2115522208372612E-3"/>
    <n v="5.1682950849195601E-2"/>
    <n v="1.7958830644598911E-2"/>
    <x v="0"/>
  </r>
  <r>
    <s v="ARI"/>
    <x v="18"/>
    <x v="9"/>
    <x v="16"/>
    <x v="213"/>
    <n v="60263998"/>
    <n v="11197775"/>
    <n v="39202529"/>
    <n v="6113052"/>
    <n v="84"/>
    <n v="78"/>
    <x v="2"/>
    <n v="162"/>
    <x v="72"/>
    <n v="1390206.5952380951"/>
    <n v="116777354"/>
    <n v="0"/>
    <n v="0.51605894409972675"/>
    <n v="9.5889953115395984E-2"/>
    <n v="0.33570317923113757"/>
    <n v="5.2347923553739711E-2"/>
    <x v="1"/>
  </r>
  <r>
    <s v="ATL"/>
    <x v="17"/>
    <x v="5"/>
    <x v="0"/>
    <x v="214"/>
    <n v="102713304"/>
    <n v="0"/>
    <n v="14100492"/>
    <n v="51911"/>
    <n v="79"/>
    <n v="83"/>
    <x v="0"/>
    <n v="162"/>
    <x v="27"/>
    <n v="1479312.746835443"/>
    <n v="116865707"/>
    <n v="0"/>
    <n v="0.87890029193936248"/>
    <n v="0"/>
    <n v="0.1206555144530123"/>
    <n v="4.4419360762520352E-4"/>
    <x v="0"/>
  </r>
  <r>
    <s v="CHW"/>
    <x v="12"/>
    <x v="13"/>
    <x v="1"/>
    <x v="215"/>
    <n v="94365735"/>
    <n v="507500"/>
    <n v="9052252"/>
    <n v="0"/>
    <n v="76"/>
    <n v="86"/>
    <x v="0"/>
    <n v="162"/>
    <x v="32"/>
    <n v="1538493.25"/>
    <n v="103925487"/>
    <n v="13000000"/>
    <n v="0.80705872963351433"/>
    <n v="4.3403710604173066E-3"/>
    <n v="7.7418980517053565E-2"/>
    <n v="0"/>
    <x v="0"/>
  </r>
  <r>
    <s v="LAD"/>
    <x v="29"/>
    <x v="6"/>
    <x v="30"/>
    <x v="216"/>
    <n v="112952717"/>
    <n v="0"/>
    <n v="4250000"/>
    <n v="0"/>
    <n v="86"/>
    <n v="76"/>
    <x v="0"/>
    <n v="162"/>
    <x v="34"/>
    <n v="1362822.2906976745"/>
    <n v="117202717"/>
    <n v="0"/>
    <n v="0.96373804201143221"/>
    <n v="0"/>
    <n v="3.6261957988567788E-2"/>
    <n v="0"/>
    <x v="0"/>
  </r>
  <r>
    <s v="ARI"/>
    <x v="18"/>
    <x v="10"/>
    <x v="23"/>
    <x v="217"/>
    <n v="65040742"/>
    <n v="11699600"/>
    <n v="26307583"/>
    <n v="15624452"/>
    <n v="85"/>
    <n v="77"/>
    <x v="0"/>
    <n v="162"/>
    <x v="57"/>
    <n v="1396145.611764706"/>
    <n v="118672377"/>
    <n v="0"/>
    <n v="0.5480697669011888"/>
    <n v="9.858739072867817E-2"/>
    <n v="0.22168244763480216"/>
    <n v="0.13166039473533087"/>
    <x v="0"/>
  </r>
  <r>
    <s v="STL"/>
    <x v="21"/>
    <x v="4"/>
    <x v="32"/>
    <x v="218"/>
    <n v="115410901"/>
    <n v="0"/>
    <n v="2808564"/>
    <n v="700000"/>
    <n v="90"/>
    <n v="72"/>
    <x v="2"/>
    <n v="162"/>
    <x v="36"/>
    <n v="1321327.388888889"/>
    <n v="118919465"/>
    <n v="0"/>
    <n v="0.97049630184595936"/>
    <n v="0"/>
    <n v="2.3617361548002255E-2"/>
    <n v="5.8863366060383808E-3"/>
    <x v="1"/>
  </r>
  <r>
    <s v="DET"/>
    <x v="9"/>
    <x v="9"/>
    <x v="23"/>
    <x v="219"/>
    <n v="82493535"/>
    <n v="20259107"/>
    <n v="15005322"/>
    <n v="1586550"/>
    <n v="78"/>
    <n v="84"/>
    <x v="0"/>
    <n v="162"/>
    <x v="79"/>
    <n v="1530057.8717948718"/>
    <n v="119344514"/>
    <n v="0"/>
    <n v="0.69122184367854567"/>
    <n v="0.16975314843546138"/>
    <n v="0.12573114169286406"/>
    <n v="1.329386619312891E-2"/>
    <x v="0"/>
  </r>
  <r>
    <s v="STL"/>
    <x v="21"/>
    <x v="6"/>
    <x v="25"/>
    <x v="220"/>
    <n v="118482081"/>
    <n v="0"/>
    <n v="1475684"/>
    <n v="0"/>
    <n v="88"/>
    <n v="74"/>
    <x v="2"/>
    <n v="162"/>
    <x v="51"/>
    <n v="1363156.4204545454"/>
    <n v="119957765"/>
    <n v="0"/>
    <n v="0.98769830364878841"/>
    <n v="0"/>
    <n v="1.2301696351211611E-2"/>
    <n v="0"/>
    <x v="1"/>
  </r>
  <r>
    <s v="STL"/>
    <x v="21"/>
    <x v="1"/>
    <x v="8"/>
    <x v="221"/>
    <n v="114729933"/>
    <n v="0"/>
    <n v="5406476"/>
    <n v="56229"/>
    <n v="97"/>
    <n v="65"/>
    <x v="1"/>
    <n v="162"/>
    <x v="53"/>
    <n v="1239099.3608247424"/>
    <n v="120192638"/>
    <n v="0"/>
    <n v="0.95455041930271967"/>
    <n v="0"/>
    <n v="4.4981756702935499E-2"/>
    <n v="4.678239943448117E-4"/>
    <x v="1"/>
  </r>
  <r>
    <s v="TEX"/>
    <x v="15"/>
    <x v="12"/>
    <x v="15"/>
    <x v="222"/>
    <n v="76139016"/>
    <n v="6683451"/>
    <n v="36936251"/>
    <n v="766300"/>
    <n v="67"/>
    <n v="95"/>
    <x v="0"/>
    <n v="162"/>
    <x v="25"/>
    <n v="1798880.8656716419"/>
    <n v="120525018"/>
    <n v="0"/>
    <n v="0.63172789569714061"/>
    <n v="5.5452810635547883E-2"/>
    <n v="0.30646127760794029"/>
    <n v="6.3580160593711757E-3"/>
    <x v="0"/>
  </r>
  <r>
    <s v="MIN"/>
    <x v="16"/>
    <x v="11"/>
    <x v="8"/>
    <x v="223"/>
    <n v="75616449"/>
    <n v="22830000"/>
    <n v="19497309"/>
    <n v="2899073"/>
    <n v="85"/>
    <n v="77"/>
    <x v="2"/>
    <n v="162"/>
    <x v="57"/>
    <n v="1421680.3647058823"/>
    <n v="120842831"/>
    <n v="0"/>
    <n v="0.6257421178754079"/>
    <n v="0.1889230814196996"/>
    <n v="0.16134435811090855"/>
    <n v="2.3990442593983915E-2"/>
    <x v="1"/>
  </r>
  <r>
    <s v="STL"/>
    <x v="21"/>
    <x v="5"/>
    <x v="23"/>
    <x v="224"/>
    <n v="114640584"/>
    <n v="0"/>
    <n v="5699886"/>
    <n v="1000000"/>
    <n v="90"/>
    <n v="72"/>
    <x v="1"/>
    <n v="162"/>
    <x v="36"/>
    <n v="1348227.4444444445"/>
    <n v="121340470"/>
    <n v="0"/>
    <n v="0.944784407049025"/>
    <n v="0"/>
    <n v="4.697431945005652E-2"/>
    <n v="8.241273500918531E-3"/>
    <x v="1"/>
  </r>
  <r>
    <s v="MIN"/>
    <x v="16"/>
    <x v="2"/>
    <x v="24"/>
    <x v="225"/>
    <n v="84942828"/>
    <n v="13198044"/>
    <n v="19934219"/>
    <n v="3342848"/>
    <n v="73"/>
    <n v="89"/>
    <x v="0"/>
    <n v="162"/>
    <x v="29"/>
    <n v="1663259.4383561644"/>
    <n v="121417939"/>
    <n v="0"/>
    <n v="0.69959042872569266"/>
    <n v="0.1086992919555322"/>
    <n v="0.16417853213601327"/>
    <n v="2.753174718276185E-2"/>
    <x v="0"/>
  </r>
  <r>
    <s v="KC"/>
    <x v="5"/>
    <x v="7"/>
    <x v="39"/>
    <x v="226"/>
    <n v="84606907"/>
    <n v="14486000"/>
    <n v="21087524"/>
    <n v="2386442"/>
    <n v="86"/>
    <n v="76"/>
    <x v="2"/>
    <n v="162"/>
    <x v="34"/>
    <n v="1425196.1976744186"/>
    <n v="122566873"/>
    <n v="0"/>
    <n v="0.69029179687075803"/>
    <n v="0.11818854185828825"/>
    <n v="0.17204913108944209"/>
    <n v="1.9470530181511608E-2"/>
    <x v="1"/>
  </r>
  <r>
    <s v="LAD"/>
    <x v="29"/>
    <x v="0"/>
    <x v="25"/>
    <x v="227"/>
    <n v="94165961"/>
    <n v="493889"/>
    <n v="16917530"/>
    <n v="7007070"/>
    <n v="43"/>
    <n v="17"/>
    <x v="1"/>
    <n v="60"/>
    <x v="82"/>
    <n v="2900443.7209302327"/>
    <n v="118584450"/>
    <n v="6134630"/>
    <n v="0.75502449986000542"/>
    <n v="3.9600115716055635E-3"/>
    <n v="0.13564508333448258"/>
    <n v="5.6182823029162818E-2"/>
    <x v="1"/>
  </r>
  <r>
    <s v="SEA"/>
    <x v="11"/>
    <x v="9"/>
    <x v="11"/>
    <x v="228"/>
    <n v="71896948"/>
    <n v="27157168"/>
    <n v="24571247"/>
    <n v="1141540"/>
    <n v="88"/>
    <n v="74"/>
    <x v="0"/>
    <n v="162"/>
    <x v="51"/>
    <n v="1417805.7159090908"/>
    <n v="124766903"/>
    <n v="0"/>
    <n v="0.57625016147110741"/>
    <n v="0.21766323718077701"/>
    <n v="0.1969372198009916"/>
    <n v="9.1493815471239189E-3"/>
    <x v="0"/>
  </r>
  <r>
    <s v="TEX"/>
    <x v="15"/>
    <x v="5"/>
    <x v="9"/>
    <x v="229"/>
    <n v="116811403"/>
    <n v="0"/>
    <n v="7994180"/>
    <n v="0"/>
    <n v="67"/>
    <n v="95"/>
    <x v="0"/>
    <n v="162"/>
    <x v="25"/>
    <n v="1862769.8955223882"/>
    <n v="124805583"/>
    <n v="0"/>
    <n v="0.93594693596359391"/>
    <n v="0"/>
    <n v="6.4053064036406121E-2"/>
    <n v="0"/>
    <x v="0"/>
  </r>
  <r>
    <s v="SF"/>
    <x v="22"/>
    <x v="4"/>
    <x v="30"/>
    <x v="230"/>
    <n v="124142452"/>
    <n v="0"/>
    <n v="1100000"/>
    <n v="0"/>
    <n v="86"/>
    <n v="76"/>
    <x v="0"/>
    <n v="162"/>
    <x v="34"/>
    <n v="1456307.5813953488"/>
    <n v="125242452"/>
    <n v="0"/>
    <n v="0.99121703557831975"/>
    <n v="0"/>
    <n v="8.7829644216802782E-3"/>
    <n v="0"/>
    <x v="0"/>
  </r>
  <r>
    <s v="MIN"/>
    <x v="16"/>
    <x v="10"/>
    <x v="15"/>
    <x v="231"/>
    <n v="96059595"/>
    <n v="1773872"/>
    <n v="19156231"/>
    <n v="266305"/>
    <n v="101"/>
    <n v="61"/>
    <x v="1"/>
    <n v="162"/>
    <x v="37"/>
    <n v="1240158.4455445544"/>
    <n v="117256003"/>
    <n v="8000000"/>
    <n v="0.76690611786486595"/>
    <n v="1.4161971941576324E-2"/>
    <n v="0.15293663011105343"/>
    <n v="2.1260857254083066E-3"/>
    <x v="1"/>
  </r>
  <r>
    <s v="SEA"/>
    <x v="11"/>
    <x v="13"/>
    <x v="23"/>
    <x v="232"/>
    <n v="95874782"/>
    <n v="1383169"/>
    <n v="25921321"/>
    <n v="2866201"/>
    <n v="76"/>
    <n v="86"/>
    <x v="0"/>
    <n v="162"/>
    <x v="32"/>
    <n v="1658493.0657894737"/>
    <n v="126045473"/>
    <n v="0"/>
    <n v="0.76063645697136617"/>
    <n v="1.0973571418943385E-2"/>
    <n v="0.20565055121019699"/>
    <n v="2.2739420399493442E-2"/>
    <x v="0"/>
  </r>
  <r>
    <s v="KC"/>
    <x v="5"/>
    <x v="13"/>
    <x v="34"/>
    <x v="233"/>
    <n v="111740891"/>
    <n v="10483450"/>
    <n v="4047582"/>
    <n v="257912"/>
    <n v="95"/>
    <n v="67"/>
    <x v="1"/>
    <n v="162"/>
    <x v="70"/>
    <n v="1331893"/>
    <n v="126529835"/>
    <n v="0"/>
    <n v="0.88311891815870935"/>
    <n v="8.2853581528814918E-2"/>
    <n v="3.1989151017228469E-2"/>
    <n v="2.0383492952472434E-3"/>
    <x v="1"/>
  </r>
  <r>
    <s v="CIN"/>
    <x v="14"/>
    <x v="2"/>
    <x v="25"/>
    <x v="234"/>
    <n v="85325437"/>
    <n v="35531500"/>
    <n v="4226409"/>
    <n v="1504101"/>
    <n v="83"/>
    <n v="79"/>
    <x v="0"/>
    <n v="162"/>
    <x v="12"/>
    <n v="1525149.9638554216"/>
    <n v="126587447"/>
    <n v="0"/>
    <n v="0.67404343023048718"/>
    <n v="0.2806873891690066"/>
    <n v="3.3387267854450058E-2"/>
    <n v="1.1881912746056092E-2"/>
    <x v="0"/>
  </r>
  <r>
    <s v="WSH"/>
    <x v="24"/>
    <x v="3"/>
    <x v="34"/>
    <x v="235"/>
    <n v="58988509"/>
    <n v="40679307"/>
    <n v="25629924"/>
    <n v="1374698"/>
    <n v="55"/>
    <n v="107"/>
    <x v="0"/>
    <n v="162"/>
    <x v="23"/>
    <n v="2303135.2363636363"/>
    <n v="126672438"/>
    <n v="0"/>
    <n v="0.46567753752398766"/>
    <n v="0.32113779163230444"/>
    <n v="0.20233228636524703"/>
    <n v="1.0852384478460894E-2"/>
    <x v="0"/>
  </r>
  <r>
    <s v="CHW"/>
    <x v="12"/>
    <x v="4"/>
    <x v="24"/>
    <x v="236"/>
    <n v="114482025"/>
    <n v="0"/>
    <n v="12781002"/>
    <n v="0"/>
    <n v="79"/>
    <n v="83"/>
    <x v="0"/>
    <n v="162"/>
    <x v="27"/>
    <n v="1610924.3924050634"/>
    <n v="127263027"/>
    <n v="0"/>
    <n v="0.8995701870269045"/>
    <n v="0"/>
    <n v="0.10042981297309547"/>
    <n v="0"/>
    <x v="0"/>
  </r>
  <r>
    <s v="TEX"/>
    <x v="15"/>
    <x v="10"/>
    <x v="14"/>
    <x v="237"/>
    <n v="64904339"/>
    <n v="26592526"/>
    <n v="31252401"/>
    <n v="4789500"/>
    <n v="78"/>
    <n v="84"/>
    <x v="0"/>
    <n v="162"/>
    <x v="79"/>
    <n v="1635112.3846153845"/>
    <n v="127538766"/>
    <n v="0"/>
    <n v="0.50889890999886267"/>
    <n v="0.20850543590801246"/>
    <n v="0.24504236617751185"/>
    <n v="3.7553287915613048E-2"/>
    <x v="0"/>
  </r>
  <r>
    <s v="CIN"/>
    <x v="14"/>
    <x v="10"/>
    <x v="20"/>
    <x v="238"/>
    <n v="84680306"/>
    <n v="580000"/>
    <n v="43074191"/>
    <n v="357072"/>
    <n v="75"/>
    <n v="87"/>
    <x v="0"/>
    <n v="162"/>
    <x v="43"/>
    <n v="1715887.5866666667"/>
    <n v="128691569"/>
    <n v="0"/>
    <n v="0.65800974110432986"/>
    <n v="4.506899748809497E-3"/>
    <n v="0.33470872516909012"/>
    <n v="2.774633977770525E-3"/>
    <x v="0"/>
  </r>
  <r>
    <s v="MIN"/>
    <x v="16"/>
    <x v="7"/>
    <x v="24"/>
    <x v="239"/>
    <n v="102020614"/>
    <n v="22053202"/>
    <n v="2570833"/>
    <n v="2435402"/>
    <n v="82"/>
    <n v="80"/>
    <x v="0"/>
    <n v="162"/>
    <x v="65"/>
    <n v="1574146.9634146341"/>
    <n v="129080051"/>
    <n v="0"/>
    <n v="0.79036701031362311"/>
    <n v="0.1708490338294025"/>
    <n v="1.9916578743837031E-2"/>
    <n v="1.8867377113137334E-2"/>
    <x v="0"/>
  </r>
  <r>
    <s v="CHW"/>
    <x v="12"/>
    <x v="8"/>
    <x v="0"/>
    <x v="240"/>
    <n v="88724466"/>
    <n v="12024268"/>
    <n v="28966952"/>
    <n v="0"/>
    <n v="78"/>
    <n v="84"/>
    <x v="0"/>
    <n v="162"/>
    <x v="79"/>
    <n v="1663021.6153846155"/>
    <n v="129715686"/>
    <n v="0"/>
    <n v="0.68399180342769028"/>
    <n v="9.2697100642091967E-2"/>
    <n v="0.22331109593021772"/>
    <n v="0"/>
    <x v="0"/>
  </r>
  <r>
    <s v="ATL"/>
    <x v="17"/>
    <x v="12"/>
    <x v="11"/>
    <x v="241"/>
    <n v="73767565"/>
    <n v="13299094"/>
    <n v="42392955"/>
    <n v="279833"/>
    <n v="90"/>
    <n v="72"/>
    <x v="1"/>
    <n v="162"/>
    <x v="36"/>
    <n v="1441549.4111111111"/>
    <n v="129739447"/>
    <n v="0"/>
    <n v="0.56858239113659859"/>
    <n v="0.10250617146533698"/>
    <n v="0.3267545529155832"/>
    <n v="2.1568844824812611E-3"/>
    <x v="1"/>
  </r>
  <r>
    <s v="KC"/>
    <x v="5"/>
    <x v="12"/>
    <x v="10"/>
    <x v="242"/>
    <n v="83618228"/>
    <n v="7189167"/>
    <n v="37811905"/>
    <n v="1325521"/>
    <n v="58"/>
    <n v="104"/>
    <x v="0"/>
    <n v="162"/>
    <x v="83"/>
    <n v="2240427.9482758623"/>
    <n v="129944821"/>
    <n v="0"/>
    <n v="0.64349027038176454"/>
    <n v="5.5324767425706023E-2"/>
    <n v="0.29098431710487332"/>
    <n v="1.020064508765609E-2"/>
    <x v="0"/>
  </r>
  <r>
    <s v="BAL"/>
    <x v="0"/>
    <x v="12"/>
    <x v="31"/>
    <x v="243"/>
    <n v="69637987"/>
    <n v="12650000"/>
    <n v="43550980"/>
    <n v="1574640"/>
    <n v="47"/>
    <n v="115"/>
    <x v="0"/>
    <n v="162"/>
    <x v="84"/>
    <n v="2774757.5957446811"/>
    <n v="127413607"/>
    <n v="3000000"/>
    <n v="0.5339779230245506"/>
    <n v="9.6999080778434416E-2"/>
    <n v="0.33394506142292346"/>
    <n v="1.2074200202130748E-2"/>
    <x v="0"/>
  </r>
  <r>
    <s v="MIL"/>
    <x v="8"/>
    <x v="3"/>
    <x v="24"/>
    <x v="244"/>
    <n v="93743089"/>
    <n v="5763506"/>
    <n v="26548013"/>
    <n v="4714717"/>
    <n v="86"/>
    <n v="76"/>
    <x v="0"/>
    <n v="162"/>
    <x v="34"/>
    <n v="1520573.546511628"/>
    <n v="130769325"/>
    <n v="0"/>
    <n v="0.71685839932262396"/>
    <n v="4.4073837652675807E-2"/>
    <n v="0.20301407076927253"/>
    <n v="3.6053692255427643E-2"/>
    <x v="0"/>
  </r>
  <r>
    <s v="DET"/>
    <x v="9"/>
    <x v="12"/>
    <x v="23"/>
    <x v="245"/>
    <n v="67047516"/>
    <n v="37720870"/>
    <n v="24437359"/>
    <n v="1789604"/>
    <n v="64"/>
    <n v="98"/>
    <x v="0"/>
    <n v="162"/>
    <x v="60"/>
    <n v="2046802.328125"/>
    <n v="130995349"/>
    <n v="0"/>
    <n v="0.51183127120032335"/>
    <n v="0.28795579604891164"/>
    <n v="0.18655134847573862"/>
    <n v="1.3661584275026437E-2"/>
    <x v="0"/>
  </r>
  <r>
    <s v="TOR"/>
    <x v="13"/>
    <x v="1"/>
    <x v="7"/>
    <x v="246"/>
    <n v="118289792"/>
    <n v="0"/>
    <n v="5613565"/>
    <n v="7867811"/>
    <n v="74"/>
    <n v="88"/>
    <x v="0"/>
    <n v="162"/>
    <x v="48"/>
    <n v="1780691.4594594594"/>
    <n v="131771168"/>
    <n v="0"/>
    <n v="0.89769100323979822"/>
    <n v="0"/>
    <n v="4.2600859392852922E-2"/>
    <n v="5.9708137367348826E-2"/>
    <x v="0"/>
  </r>
  <r>
    <s v="STL"/>
    <x v="21"/>
    <x v="13"/>
    <x v="17"/>
    <x v="247"/>
    <n v="128814787"/>
    <n v="3195000"/>
    <n v="0"/>
    <n v="169164"/>
    <n v="100"/>
    <n v="62"/>
    <x v="1"/>
    <n v="162"/>
    <x v="38"/>
    <n v="1321789.51"/>
    <n v="132178951"/>
    <n v="0"/>
    <n v="0.97454841353673627"/>
    <n v="2.4171776034143288E-2"/>
    <n v="0"/>
    <n v="1.2798104291204429E-3"/>
    <x v="1"/>
  </r>
  <r>
    <s v="CLE"/>
    <x v="7"/>
    <x v="11"/>
    <x v="2"/>
    <x v="248"/>
    <n v="116072319"/>
    <n v="6129713"/>
    <n v="10007205"/>
    <n v="49691"/>
    <n v="102"/>
    <n v="60"/>
    <x v="1"/>
    <n v="162"/>
    <x v="85"/>
    <n v="1296656.1568627451"/>
    <n v="132258928"/>
    <n v="0"/>
    <n v="0.87761424317608261"/>
    <n v="4.6346307902934161E-2"/>
    <n v="7.5663738934886871E-2"/>
    <n v="3.7570998609636396E-4"/>
    <x v="1"/>
  </r>
  <r>
    <s v="CHW"/>
    <x v="12"/>
    <x v="7"/>
    <x v="14"/>
    <x v="249"/>
    <n v="74306691"/>
    <n v="8284460"/>
    <n v="46893796"/>
    <n v="3012600"/>
    <n v="41"/>
    <n v="121"/>
    <x v="0"/>
    <n v="162"/>
    <x v="86"/>
    <n v="3231647.487804878"/>
    <n v="132497547"/>
    <n v="0"/>
    <n v="0.56081559758989352"/>
    <n v="6.2525383960504569E-2"/>
    <n v="0.35392199374075961"/>
    <n v="2.2737024708842344E-2"/>
    <x v="0"/>
  </r>
  <r>
    <s v="CHC"/>
    <x v="27"/>
    <x v="13"/>
    <x v="32"/>
    <x v="250"/>
    <n v="106652384"/>
    <n v="1000000"/>
    <n v="23656617"/>
    <n v="1684809"/>
    <n v="97"/>
    <n v="65"/>
    <x v="2"/>
    <n v="162"/>
    <x v="53"/>
    <n v="1371070.206185567"/>
    <n v="132993810"/>
    <n v="0"/>
    <n v="0.80193494719791847"/>
    <n v="7.5191469437562546E-3"/>
    <n v="0.17787757941516225"/>
    <n v="1.2668326443163031E-2"/>
    <x v="1"/>
  </r>
  <r>
    <s v="DET"/>
    <x v="9"/>
    <x v="3"/>
    <x v="23"/>
    <x v="251"/>
    <n v="105762860"/>
    <n v="13017207"/>
    <n v="15133063"/>
    <n v="1199458"/>
    <n v="66"/>
    <n v="96"/>
    <x v="0"/>
    <n v="162"/>
    <x v="54"/>
    <n v="2047160.4242424243"/>
    <n v="135112588"/>
    <n v="0"/>
    <n v="0.78277576919775971"/>
    <n v="9.6343406581776078E-2"/>
    <n v="0.1120033538251817"/>
    <n v="8.8774703952824892E-3"/>
    <x v="0"/>
  </r>
  <r>
    <s v="TEX"/>
    <x v="15"/>
    <x v="13"/>
    <x v="16"/>
    <x v="252"/>
    <n v="111715876"/>
    <n v="13135760"/>
    <n v="10018970"/>
    <n v="415001"/>
    <n v="88"/>
    <n v="74"/>
    <x v="1"/>
    <n v="162"/>
    <x v="51"/>
    <n v="1537336.4431818181"/>
    <n v="135285607"/>
    <n v="0"/>
    <n v="0.82577798538465363"/>
    <n v="9.7096507834717405E-2"/>
    <n v="7.4057915118790132E-2"/>
    <n v="3.067591661838794E-3"/>
    <x v="1"/>
  </r>
  <r>
    <s v="MIL"/>
    <x v="8"/>
    <x v="10"/>
    <x v="4"/>
    <x v="253"/>
    <n v="107189797"/>
    <n v="8283400"/>
    <n v="20248718"/>
    <n v="167104"/>
    <n v="89"/>
    <n v="73"/>
    <x v="2"/>
    <n v="162"/>
    <x v="67"/>
    <n v="1526842.9101123596"/>
    <n v="135889019"/>
    <n v="0"/>
    <n v="0.78880396509448636"/>
    <n v="6.0957096172723123E-2"/>
    <n v="0.14900922936238137"/>
    <n v="1.2297093704090984E-3"/>
    <x v="1"/>
  </r>
  <r>
    <s v="SF"/>
    <x v="22"/>
    <x v="6"/>
    <x v="30"/>
    <x v="254"/>
    <n v="122345338"/>
    <n v="0"/>
    <n v="14697867"/>
    <n v="0"/>
    <n v="94"/>
    <n v="68"/>
    <x v="1"/>
    <n v="162"/>
    <x v="26"/>
    <n v="1457906.4361702127"/>
    <n v="137043205"/>
    <n v="0"/>
    <n v="0.89275012212389515"/>
    <n v="0"/>
    <n v="0.10724987787610483"/>
    <n v="0"/>
    <x v="1"/>
  </r>
  <r>
    <s v="CHC"/>
    <x v="27"/>
    <x v="4"/>
    <x v="26"/>
    <x v="255"/>
    <n v="123941584"/>
    <n v="0"/>
    <n v="13725000"/>
    <n v="0"/>
    <n v="71"/>
    <n v="91"/>
    <x v="0"/>
    <n v="162"/>
    <x v="15"/>
    <n v="1938965.971830986"/>
    <n v="137666584"/>
    <n v="0"/>
    <n v="0.90030260357153924"/>
    <n v="0"/>
    <n v="9.9697396428460816E-2"/>
    <n v="0"/>
    <x v="0"/>
  </r>
  <r>
    <s v="TEX"/>
    <x v="15"/>
    <x v="1"/>
    <x v="24"/>
    <x v="256"/>
    <n v="124162497"/>
    <n v="465901"/>
    <n v="13104000"/>
    <n v="204748"/>
    <n v="91"/>
    <n v="72"/>
    <x v="0"/>
    <n v="163"/>
    <x v="87"/>
    <n v="1515792.8131868131"/>
    <n v="137937146"/>
    <n v="0"/>
    <n v="0.90013821947570238"/>
    <n v="3.3776325921662902E-3"/>
    <n v="9.4999790701773695E-2"/>
    <n v="1.4843572303576587E-3"/>
    <x v="0"/>
  </r>
  <r>
    <s v="TOR"/>
    <x v="13"/>
    <x v="13"/>
    <x v="39"/>
    <x v="257"/>
    <n v="106426104"/>
    <n v="6382500"/>
    <n v="25214964"/>
    <n v="286096"/>
    <n v="93"/>
    <n v="69"/>
    <x v="1"/>
    <n v="162"/>
    <x v="55"/>
    <n v="1487200.6881720431"/>
    <n v="138309664"/>
    <n v="0"/>
    <n v="0.76947699041478401"/>
    <n v="4.6146450041263928E-2"/>
    <n v="0.18230804175766055"/>
    <n v="2.0685177862914917E-3"/>
    <x v="1"/>
  </r>
  <r>
    <s v="TEX"/>
    <x v="15"/>
    <x v="6"/>
    <x v="1"/>
    <x v="258"/>
    <n v="135062903"/>
    <n v="0"/>
    <n v="3250000"/>
    <n v="0"/>
    <n v="93"/>
    <n v="69"/>
    <x v="2"/>
    <n v="162"/>
    <x v="55"/>
    <n v="1487235.5161290322"/>
    <n v="138312903"/>
    <n v="0"/>
    <n v="0.97650255377837014"/>
    <n v="0"/>
    <n v="2.3497446221629806E-2"/>
    <n v="0"/>
    <x v="1"/>
  </r>
  <r>
    <s v="HOU"/>
    <x v="3"/>
    <x v="11"/>
    <x v="26"/>
    <x v="259"/>
    <n v="128445916"/>
    <n v="835843"/>
    <n v="3284838"/>
    <n v="2052614"/>
    <n v="101"/>
    <n v="61"/>
    <x v="1"/>
    <n v="162"/>
    <x v="37"/>
    <n v="1369744.6633663366"/>
    <n v="134619211"/>
    <n v="3725000"/>
    <n v="0.92845168635209463"/>
    <n v="6.0417634677897725E-3"/>
    <n v="2.3743949792015513E-2"/>
    <n v="1.4837006804715521E-2"/>
    <x v="1"/>
  </r>
  <r>
    <s v="COL"/>
    <x v="20"/>
    <x v="11"/>
    <x v="15"/>
    <x v="260"/>
    <n v="108379084"/>
    <n v="0"/>
    <n v="30443391"/>
    <n v="676866"/>
    <n v="87"/>
    <n v="75"/>
    <x v="2"/>
    <n v="162"/>
    <x v="80"/>
    <n v="1603440.7011494252"/>
    <n v="139499341"/>
    <n v="0"/>
    <n v="0.77691466657179409"/>
    <n v="0"/>
    <n v="0.21823322448526836"/>
    <n v="4.8521089429375873E-3"/>
    <x v="1"/>
  </r>
  <r>
    <s v="WSH"/>
    <x v="24"/>
    <x v="8"/>
    <x v="24"/>
    <x v="261"/>
    <n v="119416458"/>
    <n v="5869400"/>
    <n v="14207786"/>
    <n v="90208"/>
    <n v="95"/>
    <n v="67"/>
    <x v="1"/>
    <n v="162"/>
    <x v="70"/>
    <n v="1469303.7052631578"/>
    <n v="139583852"/>
    <n v="0"/>
    <n v="0.85551771418372946"/>
    <n v="4.2049276588240307E-2"/>
    <n v="0.10178674536077426"/>
    <n v="6.462638672559345E-4"/>
    <x v="1"/>
  </r>
  <r>
    <s v="COL"/>
    <x v="20"/>
    <x v="3"/>
    <x v="12"/>
    <x v="262"/>
    <n v="66960029"/>
    <n v="64172808"/>
    <n v="7833905"/>
    <n v="1045476"/>
    <n v="68"/>
    <n v="94"/>
    <x v="0"/>
    <n v="162"/>
    <x v="31"/>
    <n v="2059003.205882353"/>
    <n v="140012218"/>
    <n v="0"/>
    <n v="0.47824418437539501"/>
    <n v="0.45833720025776609"/>
    <n v="5.5951581311282417E-2"/>
    <n v="7.4670340555564943E-3"/>
    <x v="0"/>
  </r>
  <r>
    <s v="SF"/>
    <x v="22"/>
    <x v="1"/>
    <x v="17"/>
    <x v="263"/>
    <n v="137880980"/>
    <n v="0"/>
    <n v="2157977"/>
    <n v="241229"/>
    <n v="76"/>
    <n v="86"/>
    <x v="0"/>
    <n v="162"/>
    <x v="32"/>
    <n v="1845791.9210526317"/>
    <n v="140280186"/>
    <n v="0"/>
    <n v="0.98289704292236968"/>
    <n v="0"/>
    <n v="1.5383334322068834E-2"/>
    <n v="1.7196227555615017E-3"/>
    <x v="0"/>
  </r>
  <r>
    <s v="CHW"/>
    <x v="12"/>
    <x v="2"/>
    <x v="25"/>
    <x v="264"/>
    <n v="125829369"/>
    <n v="3193240"/>
    <n v="10099143"/>
    <n v="1285073"/>
    <n v="93"/>
    <n v="69"/>
    <x v="1"/>
    <n v="162"/>
    <x v="55"/>
    <n v="1509750.8064516129"/>
    <n v="140406825"/>
    <n v="0"/>
    <n v="0.89617701276273432"/>
    <n v="2.274276909259931E-2"/>
    <n v="7.1927721462257982E-2"/>
    <n v="9.1524966824084227E-3"/>
    <x v="1"/>
  </r>
  <r>
    <s v="LAA"/>
    <x v="19"/>
    <x v="1"/>
    <x v="12"/>
    <x v="265"/>
    <n v="117426989"/>
    <n v="0"/>
    <n v="23845171"/>
    <n v="270484"/>
    <n v="78"/>
    <n v="84"/>
    <x v="0"/>
    <n v="162"/>
    <x v="79"/>
    <n v="1814649.282051282"/>
    <n v="141542644"/>
    <n v="0"/>
    <n v="0.82962268954082841"/>
    <n v="0"/>
    <n v="0.16846633866751845"/>
    <n v="1.9109717916531218E-3"/>
    <x v="0"/>
  </r>
  <r>
    <s v="KC"/>
    <x v="5"/>
    <x v="8"/>
    <x v="32"/>
    <x v="266"/>
    <n v="106349212"/>
    <n v="20825000"/>
    <n v="14210664"/>
    <n v="202482"/>
    <n v="81"/>
    <n v="81"/>
    <x v="0"/>
    <n v="162"/>
    <x v="44"/>
    <n v="1747992.0740740742"/>
    <n v="141587358"/>
    <n v="0"/>
    <n v="0.75112081687406018"/>
    <n v="0.14708234050104954"/>
    <n v="0.10036675732024042"/>
    <n v="1.4300853046498685E-3"/>
    <x v="0"/>
  </r>
  <r>
    <s v="PHI"/>
    <x v="23"/>
    <x v="13"/>
    <x v="1"/>
    <x v="267"/>
    <n v="52800331"/>
    <n v="33290177"/>
    <n v="51719664"/>
    <n v="3912467"/>
    <n v="63"/>
    <n v="99"/>
    <x v="0"/>
    <n v="162"/>
    <x v="76"/>
    <n v="2249565.6984126982"/>
    <n v="141722639"/>
    <n v="0"/>
    <n v="0.37256102040267541"/>
    <n v="0.23489667730502817"/>
    <n v="0.36493579547301541"/>
    <n v="2.7606506819281004E-2"/>
    <x v="0"/>
  </r>
  <r>
    <s v="ARI"/>
    <x v="18"/>
    <x v="12"/>
    <x v="33"/>
    <x v="268"/>
    <n v="107901628"/>
    <n v="14124025"/>
    <n v="5630585"/>
    <n v="14068359"/>
    <n v="82"/>
    <n v="80"/>
    <x v="0"/>
    <n v="162"/>
    <x v="65"/>
    <n v="1728348.743902439"/>
    <n v="141724597"/>
    <n v="0"/>
    <n v="0.76134722048283543"/>
    <n v="9.9658247749330339E-2"/>
    <n v="3.972905987518878E-2"/>
    <n v="9.9265471892645424E-2"/>
    <x v="0"/>
  </r>
  <r>
    <s v="TOR"/>
    <x v="13"/>
    <x v="5"/>
    <x v="25"/>
    <x v="269"/>
    <n v="122125961"/>
    <n v="3000000"/>
    <n v="5186211"/>
    <n v="11500000"/>
    <n v="83"/>
    <n v="79"/>
    <x v="0"/>
    <n v="162"/>
    <x v="12"/>
    <n v="1708580.3855421687"/>
    <n v="141812172"/>
    <n v="0"/>
    <n v="0.8611810909997204"/>
    <n v="2.1154742626747158E-2"/>
    <n v="3.6570986304335001E-2"/>
    <n v="8.109318006919744E-2"/>
    <x v="0"/>
  </r>
  <r>
    <s v="TEX"/>
    <x v="15"/>
    <x v="11"/>
    <x v="26"/>
    <x v="270"/>
    <n v="106415185"/>
    <n v="1074360"/>
    <n v="33856996"/>
    <n v="619779"/>
    <n v="78"/>
    <n v="84"/>
    <x v="0"/>
    <n v="162"/>
    <x v="79"/>
    <n v="1820081.0256410257"/>
    <n v="141966320"/>
    <n v="0"/>
    <n v="0.74958049909302427"/>
    <n v="7.5677104259658208E-3"/>
    <n v="0.23848611417130486"/>
    <n v="4.3656763097050062E-3"/>
    <x v="0"/>
  </r>
  <r>
    <s v="LAA"/>
    <x v="19"/>
    <x v="13"/>
    <x v="25"/>
    <x v="271"/>
    <n v="106512083"/>
    <n v="19015000"/>
    <n v="16043722"/>
    <n v="627357"/>
    <n v="85"/>
    <n v="77"/>
    <x v="0"/>
    <n v="162"/>
    <x v="57"/>
    <n v="1672919.5529411766"/>
    <n v="142198162"/>
    <n v="0"/>
    <n v="0.74903980123174874"/>
    <n v="0.13372184093349954"/>
    <n v="0.11282650756062515"/>
    <n v="4.4118502741266096E-3"/>
    <x v="0"/>
  </r>
  <r>
    <s v="NYM"/>
    <x v="25"/>
    <x v="4"/>
    <x v="37"/>
    <x v="272"/>
    <n v="96577418"/>
    <n v="0"/>
    <n v="45668423"/>
    <n v="0"/>
    <n v="77"/>
    <n v="85"/>
    <x v="0"/>
    <n v="162"/>
    <x v="17"/>
    <n v="1847348.5844155843"/>
    <n v="142245841"/>
    <n v="0"/>
    <n v="0.67894721786628542"/>
    <n v="0"/>
    <n v="0.32105278213371452"/>
    <n v="0"/>
    <x v="0"/>
  </r>
  <r>
    <s v="CLE"/>
    <x v="7"/>
    <x v="12"/>
    <x v="40"/>
    <x v="273"/>
    <n v="123470545"/>
    <n v="12836166"/>
    <n v="5222548"/>
    <n v="1075444"/>
    <n v="91"/>
    <n v="71"/>
    <x v="1"/>
    <n v="162"/>
    <x v="13"/>
    <n v="1567084.6483516484"/>
    <n v="142604703"/>
    <n v="0"/>
    <n v="0.86582379404415577"/>
    <n v="9.0012220704951088E-2"/>
    <n v="3.6622550940693728E-2"/>
    <n v="7.5414343101994326E-3"/>
    <x v="1"/>
  </r>
  <r>
    <s v="TEX"/>
    <x v="15"/>
    <x v="8"/>
    <x v="23"/>
    <x v="274"/>
    <n v="114724626"/>
    <n v="21458018"/>
    <n v="6652924"/>
    <n v="186122"/>
    <n v="95"/>
    <n v="67"/>
    <x v="1"/>
    <n v="162"/>
    <x v="70"/>
    <n v="1505491.4736842106"/>
    <n v="143021690"/>
    <n v="0"/>
    <n v="0.80214844335848634"/>
    <n v="0.15003331312893869"/>
    <n v="4.6516888452373902E-2"/>
    <n v="1.3013550602010086E-3"/>
    <x v="1"/>
  </r>
  <r>
    <s v="WSH"/>
    <x v="24"/>
    <x v="5"/>
    <x v="32"/>
    <x v="275"/>
    <n v="142964370"/>
    <n v="0"/>
    <n v="136612"/>
    <n v="177595"/>
    <n v="96"/>
    <n v="66"/>
    <x v="1"/>
    <n v="162"/>
    <x v="33"/>
    <n v="1492485.1770833333"/>
    <n v="143278577"/>
    <n v="0"/>
    <n v="0.99780702037541869"/>
    <n v="0"/>
    <n v="9.5347122270763478E-4"/>
    <n v="1.2395084018736451E-3"/>
    <x v="1"/>
  </r>
  <r>
    <s v="NYM"/>
    <x v="25"/>
    <x v="11"/>
    <x v="13"/>
    <x v="276"/>
    <n v="48736470"/>
    <n v="44924726"/>
    <n v="49595502"/>
    <n v="58460"/>
    <n v="70"/>
    <n v="92"/>
    <x v="0"/>
    <n v="162"/>
    <x v="20"/>
    <n v="2047359.4"/>
    <n v="143315158"/>
    <n v="0"/>
    <n v="0.34006500554533109"/>
    <n v="0.31346807013951727"/>
    <n v="0.34605901212487239"/>
    <n v="4.079121902792725E-4"/>
    <x v="0"/>
  </r>
  <r>
    <s v="DET"/>
    <x v="9"/>
    <x v="6"/>
    <x v="20"/>
    <x v="277"/>
    <n v="138282286"/>
    <n v="0"/>
    <n v="5500000"/>
    <n v="0"/>
    <n v="88"/>
    <n v="74"/>
    <x v="1"/>
    <n v="162"/>
    <x v="51"/>
    <n v="1633889.6136363635"/>
    <n v="143782286"/>
    <n v="0"/>
    <n v="0.96174772182993395"/>
    <n v="0"/>
    <n v="3.8252278170066094E-2"/>
    <n v="0"/>
    <x v="1"/>
  </r>
  <r>
    <s v="ATL"/>
    <x v="17"/>
    <x v="10"/>
    <x v="37"/>
    <x v="278"/>
    <n v="117758736"/>
    <n v="8328689"/>
    <n v="17791906"/>
    <n v="68632"/>
    <n v="97"/>
    <n v="65"/>
    <x v="1"/>
    <n v="162"/>
    <x v="53"/>
    <n v="1483999.6185567011"/>
    <n v="143947963"/>
    <n v="0"/>
    <n v="0.81806462242192335"/>
    <n v="5.785902645944354E-2"/>
    <n v="0.12359956771322982"/>
    <n v="4.7678340540324281E-4"/>
    <x v="1"/>
  </r>
  <r>
    <s v="COL"/>
    <x v="20"/>
    <x v="12"/>
    <x v="32"/>
    <x v="279"/>
    <n v="131213168"/>
    <n v="7545000"/>
    <n v="4442400"/>
    <n v="767976"/>
    <n v="91"/>
    <n v="72"/>
    <x v="2"/>
    <n v="163"/>
    <x v="87"/>
    <n v="1582071.912087912"/>
    <n v="143968544"/>
    <n v="0"/>
    <n v="0.91140164618182151"/>
    <n v="5.24072814128064E-2"/>
    <n v="3.0856740483532291E-2"/>
    <n v="5.3343319218398149E-3"/>
    <x v="1"/>
  </r>
  <r>
    <s v="CHC"/>
    <x v="27"/>
    <x v="2"/>
    <x v="25"/>
    <x v="280"/>
    <n v="33340389"/>
    <n v="38534396"/>
    <n v="71494409"/>
    <n v="667976"/>
    <n v="71"/>
    <n v="91"/>
    <x v="0"/>
    <n v="162"/>
    <x v="15"/>
    <n v="2028692.5352112676"/>
    <n v="144037170"/>
    <n v="0"/>
    <n v="0.23147073078428299"/>
    <n v="0.26753091580458016"/>
    <n v="0.49636082825009681"/>
    <n v="4.6375251610400285E-3"/>
    <x v="0"/>
  </r>
  <r>
    <s v="SEA"/>
    <x v="11"/>
    <x v="10"/>
    <x v="5"/>
    <x v="281"/>
    <n v="84703863"/>
    <n v="5638913"/>
    <n v="51230092"/>
    <n v="1015441"/>
    <n v="68"/>
    <n v="94"/>
    <x v="0"/>
    <n v="162"/>
    <x v="31"/>
    <n v="2123357.4852941176"/>
    <n v="142588309"/>
    <n v="1800000"/>
    <n v="0.58663934487936975"/>
    <n v="3.9053805942141757E-2"/>
    <n v="0.35480775663076713"/>
    <n v="7.0327092756519508E-3"/>
    <x v="0"/>
  </r>
  <r>
    <s v="WSH"/>
    <x v="24"/>
    <x v="2"/>
    <x v="17"/>
    <x v="282"/>
    <n v="50076145"/>
    <n v="34877122"/>
    <n v="57061332"/>
    <n v="2400588"/>
    <n v="65"/>
    <n v="97"/>
    <x v="0"/>
    <n v="162"/>
    <x v="64"/>
    <n v="2221772.1076923078"/>
    <n v="144415187"/>
    <n v="0"/>
    <n v="0.34675123884304493"/>
    <n v="0.24150591585634273"/>
    <n v="0.39512002293775378"/>
    <n v="1.6622822362858555E-2"/>
    <x v="0"/>
  </r>
  <r>
    <s v="STL"/>
    <x v="21"/>
    <x v="11"/>
    <x v="11"/>
    <x v="283"/>
    <n v="104261954"/>
    <n v="6935000"/>
    <n v="29772125"/>
    <n v="587006"/>
    <n v="83"/>
    <n v="79"/>
    <x v="0"/>
    <n v="162"/>
    <x v="12"/>
    <n v="1750073.313253012"/>
    <n v="141556085"/>
    <n v="3700000"/>
    <n v="0.71778028438533226"/>
    <n v="4.7743266659018103E-2"/>
    <n v="0.20496301411400425"/>
    <n v="4.0411800992708842E-3"/>
    <x v="0"/>
  </r>
  <r>
    <s v="COL"/>
    <x v="20"/>
    <x v="7"/>
    <x v="9"/>
    <x v="284"/>
    <n v="79534485"/>
    <n v="51060000"/>
    <n v="13132583"/>
    <n v="2373897"/>
    <n v="61"/>
    <n v="101"/>
    <x v="0"/>
    <n v="162"/>
    <x v="22"/>
    <n v="2395097.7868852457"/>
    <n v="146100965"/>
    <n v="0"/>
    <n v="0.54438028523630899"/>
    <n v="0.34948434461059175"/>
    <n v="8.9887038049338008E-2"/>
    <n v="1.6248332103761257E-2"/>
    <x v="0"/>
  </r>
  <r>
    <s v="NYM"/>
    <x v="25"/>
    <x v="10"/>
    <x v="26"/>
    <x v="285"/>
    <n v="104490573"/>
    <n v="16519542"/>
    <n v="25220967"/>
    <n v="307152"/>
    <n v="86"/>
    <n v="76"/>
    <x v="0"/>
    <n v="162"/>
    <x v="34"/>
    <n v="1703932.953488372"/>
    <n v="146538234"/>
    <n v="0"/>
    <n v="0.7130601355547932"/>
    <n v="0.11273195772237844"/>
    <n v="0.17211185307446791"/>
    <n v="2.0960536483604682E-3"/>
    <x v="0"/>
  </r>
  <r>
    <s v="LAA"/>
    <x v="19"/>
    <x v="4"/>
    <x v="12"/>
    <x v="286"/>
    <n v="133613959"/>
    <n v="0"/>
    <n v="13034600"/>
    <n v="0"/>
    <n v="86"/>
    <n v="76"/>
    <x v="0"/>
    <n v="162"/>
    <x v="34"/>
    <n v="1705215.8023255814"/>
    <n v="146648559"/>
    <n v="0"/>
    <n v="0.91111675362592548"/>
    <n v="0"/>
    <n v="8.8883246374074493E-2"/>
    <n v="0"/>
    <x v="0"/>
  </r>
  <r>
    <s v="SEA"/>
    <x v="11"/>
    <x v="8"/>
    <x v="28"/>
    <x v="287"/>
    <n v="132303221"/>
    <n v="4036934"/>
    <n v="9931590"/>
    <n v="732035"/>
    <n v="86"/>
    <n v="76"/>
    <x v="0"/>
    <n v="162"/>
    <x v="34"/>
    <n v="1709346.2790697673"/>
    <n v="147003780"/>
    <n v="0"/>
    <n v="0.89999876873914397"/>
    <n v="2.7461429903367109E-2"/>
    <n v="6.7560099474993099E-2"/>
    <n v="4.9797018824958104E-3"/>
    <x v="0"/>
  </r>
  <r>
    <s v="NYM"/>
    <x v="25"/>
    <x v="8"/>
    <x v="26"/>
    <x v="288"/>
    <n v="101803832"/>
    <n v="39822605"/>
    <n v="6117623"/>
    <n v="0"/>
    <n v="87"/>
    <n v="75"/>
    <x v="2"/>
    <n v="162"/>
    <x v="80"/>
    <n v="1698207.5862068965"/>
    <n v="147744060"/>
    <n v="0"/>
    <n v="0.68905532987248352"/>
    <n v="0.26953777363367432"/>
    <n v="4.1406896493842119E-2"/>
    <n v="0"/>
    <x v="1"/>
  </r>
  <r>
    <s v="SEA"/>
    <x v="11"/>
    <x v="7"/>
    <x v="24"/>
    <x v="289"/>
    <n v="93668820"/>
    <n v="29288727"/>
    <n v="28968591"/>
    <n v="2004494"/>
    <n v="85"/>
    <n v="77"/>
    <x v="0"/>
    <n v="162"/>
    <x v="57"/>
    <n v="1740360.3764705881"/>
    <n v="153930632"/>
    <n v="-6000000"/>
    <n v="0.63319421227105954"/>
    <n v="0.19798960231576648"/>
    <n v="0.19582550691732326"/>
    <n v="1.3550229407523927E-2"/>
    <x v="0"/>
  </r>
  <r>
    <s v="KC"/>
    <x v="5"/>
    <x v="11"/>
    <x v="32"/>
    <x v="290"/>
    <n v="120678691"/>
    <n v="1046749"/>
    <n v="19965515"/>
    <n v="1536867"/>
    <n v="80"/>
    <n v="82"/>
    <x v="0"/>
    <n v="162"/>
    <x v="19"/>
    <n v="1852847.7749999999"/>
    <n v="143227822"/>
    <n v="5000000"/>
    <n v="0.81414331919415239"/>
    <n v="7.06175794716865E-3"/>
    <n v="0.13469478759527345"/>
    <n v="1.03682762066085E-2"/>
    <x v="0"/>
  </r>
  <r>
    <s v="TOR"/>
    <x v="13"/>
    <x v="8"/>
    <x v="41"/>
    <x v="291"/>
    <n v="134332539"/>
    <n v="1000000"/>
    <n v="12644767"/>
    <n v="565489"/>
    <n v="89"/>
    <n v="73"/>
    <x v="2"/>
    <n v="162"/>
    <x v="67"/>
    <n v="1667252.5730337079"/>
    <n v="148542795"/>
    <n v="-157316"/>
    <n v="0.90529437183000905"/>
    <n v="6.7392039082206957E-3"/>
    <n v="8.5215663184940088E-2"/>
    <n v="3.8109456788558132E-3"/>
    <x v="1"/>
  </r>
  <r>
    <s v="STL"/>
    <x v="21"/>
    <x v="8"/>
    <x v="2"/>
    <x v="292"/>
    <n v="132790389"/>
    <n v="13596500"/>
    <n v="2968981"/>
    <n v="0"/>
    <n v="86"/>
    <n v="76"/>
    <x v="0"/>
    <n v="162"/>
    <x v="34"/>
    <n v="1736696.1627906978"/>
    <n v="149355870"/>
    <n v="0"/>
    <n v="0.88908717816045668"/>
    <n v="9.1034252620938172E-2"/>
    <n v="1.9878569218605202E-2"/>
    <n v="0"/>
    <x v="0"/>
  </r>
  <r>
    <s v="TEX"/>
    <x v="15"/>
    <x v="3"/>
    <x v="20"/>
    <x v="293"/>
    <n v="100539086"/>
    <n v="13330822"/>
    <n v="30024329"/>
    <n v="6143209"/>
    <n v="68"/>
    <n v="94"/>
    <x v="0"/>
    <n v="162"/>
    <x v="31"/>
    <n v="2206433.0294117648"/>
    <n v="150037446"/>
    <n v="0"/>
    <n v="0.6700932912441071"/>
    <n v="8.8849966161114208E-2"/>
    <n v="0.20011223731441016"/>
    <n v="4.0944505280368478E-2"/>
    <x v="0"/>
  </r>
  <r>
    <s v="TOR"/>
    <x v="13"/>
    <x v="2"/>
    <x v="4"/>
    <x v="294"/>
    <n v="109902749"/>
    <n v="8853529"/>
    <n v="28315121"/>
    <n v="3068854"/>
    <n v="91"/>
    <n v="71"/>
    <x v="0"/>
    <n v="162"/>
    <x v="13"/>
    <n v="1649892.8901098901"/>
    <n v="150140253"/>
    <n v="0"/>
    <n v="0.73200055817143184"/>
    <n v="5.8968390042609023E-2"/>
    <n v="0.18859113684855719"/>
    <n v="2.0439914937401896E-2"/>
    <x v="0"/>
  </r>
  <r>
    <s v="NYM"/>
    <x v="25"/>
    <x v="12"/>
    <x v="2"/>
    <x v="295"/>
    <n v="82655203"/>
    <n v="49831436"/>
    <n v="15314261"/>
    <n v="595087"/>
    <n v="77"/>
    <n v="85"/>
    <x v="0"/>
    <n v="162"/>
    <x v="17"/>
    <n v="1950493.3376623376"/>
    <n v="148395987"/>
    <n v="1792000"/>
    <n v="0.55034496866916527"/>
    <n v="0.33179375391721577"/>
    <n v="0.10196728317558447"/>
    <n v="3.9622809512720883E-3"/>
    <x v="0"/>
  </r>
  <r>
    <s v="MIN"/>
    <x v="16"/>
    <x v="3"/>
    <x v="0"/>
    <x v="296"/>
    <n v="77058186"/>
    <n v="53517506"/>
    <n v="18666930"/>
    <n v="1120869"/>
    <n v="78"/>
    <n v="84"/>
    <x v="0"/>
    <n v="162"/>
    <x v="79"/>
    <n v="1927737.064102564"/>
    <n v="150363491"/>
    <n v="0"/>
    <n v="0.51247936242714665"/>
    <n v="0.35592087975664249"/>
    <n v="0.12414536185515937"/>
    <n v="7.4543959610514762E-3"/>
    <x v="0"/>
  </r>
  <r>
    <s v="CHC"/>
    <x v="27"/>
    <x v="3"/>
    <x v="2"/>
    <x v="297"/>
    <n v="83228504"/>
    <n v="44219852"/>
    <n v="20225459"/>
    <n v="2906202"/>
    <n v="74"/>
    <n v="88"/>
    <x v="0"/>
    <n v="162"/>
    <x v="48"/>
    <n v="2034865.0945945946"/>
    <n v="150580017"/>
    <n v="0"/>
    <n v="0.55271944882301349"/>
    <n v="0.29366348125727731"/>
    <n v="0.13431701897071774"/>
    <n v="1.9300050948991457E-2"/>
    <x v="0"/>
  </r>
  <r>
    <s v="TOR"/>
    <x v="13"/>
    <x v="12"/>
    <x v="9"/>
    <x v="298"/>
    <n v="81293347"/>
    <n v="20481474"/>
    <n v="48740616"/>
    <n v="430710"/>
    <n v="73"/>
    <n v="89"/>
    <x v="0"/>
    <n v="162"/>
    <x v="29"/>
    <n v="2067755.4383561644"/>
    <n v="150946147"/>
    <n v="0"/>
    <n v="0.53855860925022481"/>
    <n v="0.13568729250174236"/>
    <n v="0.32290069649806963"/>
    <n v="2.8534017499631838E-3"/>
    <x v="0"/>
  </r>
  <r>
    <s v="ATL"/>
    <x v="17"/>
    <x v="2"/>
    <x v="4"/>
    <x v="299"/>
    <n v="115354620"/>
    <n v="3301950"/>
    <n v="17735468"/>
    <n v="1596717"/>
    <n v="88"/>
    <n v="73"/>
    <x v="1"/>
    <n v="161"/>
    <x v="88"/>
    <n v="1720383.5795454546"/>
    <n v="137988755"/>
    <n v="13405000"/>
    <n v="0.76195098007840545"/>
    <n v="2.1810344819044879E-2"/>
    <n v="0.11714794972883789"/>
    <n v="1.0546782461403378E-2"/>
    <x v="1"/>
  </r>
  <r>
    <s v="STL"/>
    <x v="21"/>
    <x v="2"/>
    <x v="19"/>
    <x v="300"/>
    <n v="116018560"/>
    <n v="14512682"/>
    <n v="19759129"/>
    <n v="1179623"/>
    <n v="90"/>
    <n v="72"/>
    <x v="2"/>
    <n v="162"/>
    <x v="36"/>
    <n v="1682999.9333333333"/>
    <n v="151469994"/>
    <n v="0"/>
    <n v="0.76595077966399072"/>
    <n v="9.5812257046765312E-2"/>
    <n v="0.13044913040664674"/>
    <n v="7.7878328825971965E-3"/>
    <x v="1"/>
  </r>
  <r>
    <s v="STL"/>
    <x v="21"/>
    <x v="9"/>
    <x v="8"/>
    <x v="301"/>
    <n v="83908832"/>
    <n v="48168555"/>
    <n v="20560215"/>
    <n v="1155426"/>
    <n v="71"/>
    <n v="91"/>
    <x v="0"/>
    <n v="162"/>
    <x v="15"/>
    <n v="2166098.9859154928"/>
    <n v="153793028"/>
    <n v="0"/>
    <n v="0.54559581205462704"/>
    <n v="0.31320376239682335"/>
    <n v="0.13368756222161124"/>
    <n v="7.5128633269383313E-3"/>
    <x v="0"/>
  </r>
  <r>
    <s v="BAL"/>
    <x v="0"/>
    <x v="8"/>
    <x v="24"/>
    <x v="302"/>
    <n v="148307663"/>
    <n v="2650245"/>
    <n v="2773173"/>
    <n v="417751"/>
    <n v="89"/>
    <n v="73"/>
    <x v="2"/>
    <n v="162"/>
    <x v="67"/>
    <n v="1732009.3483146068"/>
    <n v="154148832"/>
    <n v="0"/>
    <n v="0.96210695258462942"/>
    <n v="1.7192767312048138E-2"/>
    <n v="1.7990230376834771E-2"/>
    <n v="2.7100497264877102E-3"/>
    <x v="1"/>
  </r>
  <r>
    <s v="STL"/>
    <x v="21"/>
    <x v="3"/>
    <x v="34"/>
    <x v="303"/>
    <n v="134723541"/>
    <n v="8750000"/>
    <n v="9569813"/>
    <n v="2334971"/>
    <n v="93"/>
    <n v="69"/>
    <x v="1"/>
    <n v="162"/>
    <x v="55"/>
    <n v="1670734.6774193549"/>
    <n v="155378325"/>
    <n v="0"/>
    <n v="0.86706779082603702"/>
    <n v="5.6314160935896307E-2"/>
    <n v="6.1590398789535157E-2"/>
    <n v="1.5027649448531511E-2"/>
    <x v="1"/>
  </r>
  <r>
    <s v="COL"/>
    <x v="20"/>
    <x v="10"/>
    <x v="15"/>
    <x v="304"/>
    <n v="120506596"/>
    <n v="12420904"/>
    <n v="17868240"/>
    <n v="4607773"/>
    <n v="71"/>
    <n v="91"/>
    <x v="0"/>
    <n v="162"/>
    <x v="15"/>
    <n v="2188781.8732394367"/>
    <n v="155403513"/>
    <n v="0"/>
    <n v="0.77544319091422342"/>
    <n v="7.9926790329379493E-2"/>
    <n v="0.11497964013207346"/>
    <n v="2.9650378624323633E-2"/>
    <x v="0"/>
  </r>
  <r>
    <s v="MIN"/>
    <x v="16"/>
    <x v="9"/>
    <x v="34"/>
    <x v="305"/>
    <n v="77967521"/>
    <n v="71263008"/>
    <n v="3421766"/>
    <n v="3347413"/>
    <n v="87"/>
    <n v="75"/>
    <x v="1"/>
    <n v="162"/>
    <x v="80"/>
    <n v="1793100.0919540229"/>
    <n v="155999708"/>
    <n v="0"/>
    <n v="0.49979273679153297"/>
    <n v="0.45681500891014487"/>
    <n v="2.1934438492666922E-2"/>
    <n v="2.1457815805655225E-2"/>
    <x v="1"/>
  </r>
  <r>
    <s v="LAA"/>
    <x v="19"/>
    <x v="6"/>
    <x v="17"/>
    <x v="306"/>
    <n v="153844690"/>
    <n v="0"/>
    <n v="3323935"/>
    <n v="0"/>
    <n v="89"/>
    <n v="73"/>
    <x v="0"/>
    <n v="162"/>
    <x v="67"/>
    <n v="1765939.606741573"/>
    <n v="157168625"/>
    <n v="0"/>
    <n v="0.97885115429367664"/>
    <n v="0"/>
    <n v="2.1148845706323385E-2"/>
    <n v="0"/>
    <x v="0"/>
  </r>
  <r>
    <s v="DET"/>
    <x v="9"/>
    <x v="1"/>
    <x v="17"/>
    <x v="307"/>
    <n v="151033294"/>
    <n v="494000"/>
    <n v="5805672"/>
    <n v="0"/>
    <n v="93"/>
    <n v="69"/>
    <x v="1"/>
    <n v="162"/>
    <x v="55"/>
    <n v="1691752.3225806451"/>
    <n v="157332966"/>
    <n v="0"/>
    <n v="0.95995961838029542"/>
    <n v="3.139837839197667E-3"/>
    <n v="3.6900543780506875E-2"/>
    <n v="0"/>
    <x v="1"/>
  </r>
  <r>
    <s v="LAA"/>
    <x v="19"/>
    <x v="10"/>
    <x v="20"/>
    <x v="308"/>
    <n v="118016581"/>
    <n v="15868930"/>
    <n v="23964754"/>
    <n v="149200"/>
    <n v="72"/>
    <n v="90"/>
    <x v="0"/>
    <n v="162"/>
    <x v="14"/>
    <n v="2194437.013888889"/>
    <n v="157999465"/>
    <n v="0"/>
    <n v="0.74694291528139034"/>
    <n v="0.10043660590876051"/>
    <n v="0.15167617181488557"/>
    <n v="9.4430699496355892E-4"/>
    <x v="0"/>
  </r>
  <r>
    <s v="PHI"/>
    <x v="23"/>
    <x v="10"/>
    <x v="23"/>
    <x v="309"/>
    <n v="82703582"/>
    <n v="67270903"/>
    <n v="3500513"/>
    <n v="151754"/>
    <n v="81"/>
    <n v="81"/>
    <x v="0"/>
    <n v="162"/>
    <x v="44"/>
    <n v="1962675.950617284"/>
    <n v="153626752"/>
    <n v="5350000"/>
    <n v="0.52022437846761393"/>
    <n v="0.42314931053566879"/>
    <n v="2.2019024517496748E-2"/>
    <n v="9.5456724389488088E-4"/>
    <x v="0"/>
  </r>
  <r>
    <s v="SEA"/>
    <x v="11"/>
    <x v="12"/>
    <x v="39"/>
    <x v="310"/>
    <n v="136839663"/>
    <n v="13496812"/>
    <n v="9361340"/>
    <n v="546012"/>
    <n v="89"/>
    <n v="73"/>
    <x v="0"/>
    <n v="162"/>
    <x v="67"/>
    <n v="1800492.4382022473"/>
    <n v="160243827"/>
    <n v="0"/>
    <n v="0.85394654859310115"/>
    <n v="8.4226720321650836E-2"/>
    <n v="5.8419348659215435E-2"/>
    <n v="3.4073824260325487E-3"/>
    <x v="0"/>
  </r>
  <r>
    <s v="SF"/>
    <x v="22"/>
    <x v="5"/>
    <x v="34"/>
    <x v="311"/>
    <n v="152735333"/>
    <n v="0"/>
    <n v="7501449"/>
    <n v="100000"/>
    <n v="88"/>
    <n v="74"/>
    <x v="2"/>
    <n v="162"/>
    <x v="51"/>
    <n v="1822008.8863636365"/>
    <n v="160336782"/>
    <n v="0"/>
    <n v="0.95259073491945223"/>
    <n v="0"/>
    <n v="4.6785577871957043E-2"/>
    <n v="6.2368720859072753E-4"/>
    <x v="1"/>
  </r>
  <r>
    <s v="SEA"/>
    <x v="11"/>
    <x v="11"/>
    <x v="17"/>
    <x v="312"/>
    <n v="120728483"/>
    <n v="29449738"/>
    <n v="9229977"/>
    <n v="1333612"/>
    <n v="78"/>
    <n v="84"/>
    <x v="0"/>
    <n v="162"/>
    <x v="79"/>
    <n v="2060792.435897436"/>
    <n v="160741810"/>
    <n v="0"/>
    <n v="0.75107081972014622"/>
    <n v="0.18321143702438089"/>
    <n v="5.7421133929000799E-2"/>
    <n v="8.2966093264720611E-3"/>
    <x v="0"/>
  </r>
  <r>
    <s v="SF"/>
    <x v="22"/>
    <x v="3"/>
    <x v="32"/>
    <x v="313"/>
    <n v="43246200"/>
    <n v="90082706"/>
    <n v="19651602"/>
    <n v="2736809"/>
    <n v="81"/>
    <n v="81"/>
    <x v="0"/>
    <n v="162"/>
    <x v="44"/>
    <n v="1996510.086419753"/>
    <n v="155717317"/>
    <n v="6000000"/>
    <n v="0.26741848555402387"/>
    <n v="0.55703809382392855"/>
    <n v="0.12151822924442902"/>
    <n v="1.6923413341070951E-2"/>
    <x v="0"/>
  </r>
  <r>
    <s v="DET"/>
    <x v="9"/>
    <x v="13"/>
    <x v="1"/>
    <x v="314"/>
    <n v="109879336"/>
    <n v="27072978"/>
    <n v="25208607"/>
    <n v="0"/>
    <n v="74"/>
    <n v="87"/>
    <x v="0"/>
    <n v="161"/>
    <x v="81"/>
    <n v="2191363.7972972975"/>
    <n v="162160921"/>
    <n v="0"/>
    <n v="0.67759442486146215"/>
    <n v="0.16695130881749248"/>
    <n v="0.15545426632104536"/>
    <n v="0"/>
    <x v="0"/>
  </r>
  <r>
    <s v="STL"/>
    <x v="21"/>
    <x v="12"/>
    <x v="9"/>
    <x v="315"/>
    <n v="113741329"/>
    <n v="27345600"/>
    <n v="20907798"/>
    <n v="339584"/>
    <n v="88"/>
    <n v="74"/>
    <x v="0"/>
    <n v="162"/>
    <x v="51"/>
    <n v="1844708.0795454546"/>
    <n v="162334311"/>
    <n v="0"/>
    <n v="0.70066105125490075"/>
    <n v="0.16845237357122858"/>
    <n v="0.128794694548585"/>
    <n v="2.09188062528568E-3"/>
    <x v="0"/>
  </r>
  <r>
    <s v="CHW"/>
    <x v="12"/>
    <x v="9"/>
    <x v="2"/>
    <x v="316"/>
    <n v="85292616"/>
    <n v="37717329"/>
    <n v="38812106"/>
    <n v="1041785"/>
    <n v="61"/>
    <n v="101"/>
    <x v="0"/>
    <n v="162"/>
    <x v="22"/>
    <n v="2669898.9508196721"/>
    <n v="162863836"/>
    <n v="0"/>
    <n v="0.52370506611424772"/>
    <n v="0.23158811634523946"/>
    <n v="0.23831015499352479"/>
    <n v="6.3966625469880252E-3"/>
    <x v="0"/>
  </r>
  <r>
    <s v="PHI"/>
    <x v="23"/>
    <x v="1"/>
    <x v="34"/>
    <x v="317"/>
    <n v="154262761"/>
    <n v="765791"/>
    <n v="8307527"/>
    <n v="200819"/>
    <n v="73"/>
    <n v="89"/>
    <x v="0"/>
    <n v="162"/>
    <x v="29"/>
    <n v="2240231.4794520549"/>
    <n v="163536898"/>
    <n v="0"/>
    <n v="0.94329024756235746"/>
    <n v="4.6826802352579787E-3"/>
    <n v="5.0799098561842601E-2"/>
    <n v="1.227973640541965E-3"/>
    <x v="0"/>
  </r>
  <r>
    <s v="HOU"/>
    <x v="3"/>
    <x v="12"/>
    <x v="26"/>
    <x v="318"/>
    <n v="158720510"/>
    <n v="556400"/>
    <n v="4027264"/>
    <n v="420042"/>
    <n v="103"/>
    <n v="59"/>
    <x v="1"/>
    <n v="162"/>
    <x v="89"/>
    <n v="1589555.495145631"/>
    <n v="163724216"/>
    <n v="0"/>
    <n v="0.96943820454757901"/>
    <n v="3.3983977055660479E-3"/>
    <n v="2.4597851792431243E-2"/>
    <n v="2.5655459544237486E-3"/>
    <x v="1"/>
  </r>
  <r>
    <s v="LAA"/>
    <x v="19"/>
    <x v="5"/>
    <x v="28"/>
    <x v="319"/>
    <n v="132293502"/>
    <n v="0"/>
    <n v="32051279"/>
    <n v="900000"/>
    <n v="98"/>
    <n v="64"/>
    <x v="1"/>
    <n v="162"/>
    <x v="69"/>
    <n v="1686171.2346938776"/>
    <n v="165244781"/>
    <n v="0"/>
    <n v="0.80059110611184747"/>
    <n v="0"/>
    <n v="0.19396242838071842"/>
    <n v="5.4464655074340897E-3"/>
    <x v="1"/>
  </r>
  <r>
    <s v="WSH"/>
    <x v="24"/>
    <x v="13"/>
    <x v="25"/>
    <x v="320"/>
    <n v="146009803"/>
    <n v="17556549"/>
    <n v="2000000"/>
    <n v="88743"/>
    <n v="83"/>
    <n v="79"/>
    <x v="0"/>
    <n v="162"/>
    <x v="12"/>
    <n v="1995844.5180722892"/>
    <n v="165655095"/>
    <n v="0"/>
    <n v="0.88140846497960113"/>
    <n v="0.10598254765420889"/>
    <n v="1.2073277915176711E-2"/>
    <n v="5.357094510132634E-4"/>
    <x v="0"/>
  </r>
  <r>
    <s v="LAA"/>
    <x v="19"/>
    <x v="11"/>
    <x v="33"/>
    <x v="321"/>
    <n v="114610825"/>
    <n v="16095730"/>
    <n v="34823286"/>
    <n v="631368"/>
    <n v="80"/>
    <n v="82"/>
    <x v="0"/>
    <n v="162"/>
    <x v="19"/>
    <n v="2077015.1125"/>
    <n v="166161209"/>
    <n v="0"/>
    <n v="0.68975680719800248"/>
    <n v="9.6868156514195808E-2"/>
    <n v="0.20957530466692739"/>
    <n v="3.7997316208742801E-3"/>
    <x v="0"/>
  </r>
  <r>
    <s v="HOU"/>
    <x v="3"/>
    <x v="10"/>
    <x v="24"/>
    <x v="322"/>
    <n v="153370215"/>
    <n v="11713065"/>
    <n v="1777467"/>
    <n v="277512"/>
    <n v="107"/>
    <n v="55"/>
    <x v="1"/>
    <n v="162"/>
    <x v="90"/>
    <n v="1562039.8037383177"/>
    <n v="167138259"/>
    <n v="0"/>
    <n v="0.91762482101719156"/>
    <n v="7.0080094588038044E-2"/>
    <n v="1.0634710512330992E-2"/>
    <n v="1.6603738824394478E-3"/>
    <x v="1"/>
  </r>
  <r>
    <s v="PHI"/>
    <x v="23"/>
    <x v="4"/>
    <x v="42"/>
    <x v="323"/>
    <n v="169849882"/>
    <n v="0"/>
    <n v="168300"/>
    <n v="0"/>
    <n v="102"/>
    <n v="60"/>
    <x v="1"/>
    <n v="162"/>
    <x v="85"/>
    <n v="1666844.9215686275"/>
    <n v="170018182"/>
    <n v="0"/>
    <n v="0.99901010587208838"/>
    <n v="0"/>
    <n v="9.898941279115666E-4"/>
    <n v="0"/>
    <x v="1"/>
  </r>
  <r>
    <s v="BOS"/>
    <x v="26"/>
    <x v="5"/>
    <x v="12"/>
    <x v="324"/>
    <n v="95417971"/>
    <n v="0"/>
    <n v="61397733"/>
    <n v="30054"/>
    <n v="71"/>
    <n v="91"/>
    <x v="0"/>
    <n v="162"/>
    <x v="15"/>
    <n v="2395714.9014084507"/>
    <n v="156845758"/>
    <n v="13250000"/>
    <n v="0.56096619999188924"/>
    <n v="0"/>
    <n v="0.36095981300133306"/>
    <n v="1.7668870966200111E-4"/>
    <x v="0"/>
  </r>
  <r>
    <s v="BOS"/>
    <x v="26"/>
    <x v="4"/>
    <x v="33"/>
    <x v="325"/>
    <n v="162455090"/>
    <n v="0"/>
    <n v="8239278"/>
    <n v="0"/>
    <n v="90"/>
    <n v="72"/>
    <x v="0"/>
    <n v="162"/>
    <x v="36"/>
    <n v="1894341.7888888889"/>
    <n v="170694368"/>
    <n v="-203607"/>
    <n v="0.9528674108035684"/>
    <n v="0"/>
    <n v="4.8326829862645755E-2"/>
    <n v="0"/>
    <x v="0"/>
  </r>
  <r>
    <s v="SD"/>
    <x v="10"/>
    <x v="7"/>
    <x v="35"/>
    <x v="326"/>
    <n v="142394254"/>
    <n v="9034386"/>
    <n v="19045542"/>
    <n v="2437482"/>
    <n v="93"/>
    <n v="69"/>
    <x v="2"/>
    <n v="162"/>
    <x v="55"/>
    <n v="1837151.5053763441"/>
    <n v="172911664"/>
    <n v="-2056574"/>
    <n v="0.83342119921624813"/>
    <n v="5.2877476462656163E-2"/>
    <n v="0.11147190288565591"/>
    <n v="1.4266370407811672E-2"/>
    <x v="1"/>
  </r>
  <r>
    <s v="COL"/>
    <x v="20"/>
    <x v="9"/>
    <x v="26"/>
    <x v="327"/>
    <n v="75181741"/>
    <n v="46742764"/>
    <n v="47613189"/>
    <n v="1488913"/>
    <n v="59"/>
    <n v="103"/>
    <x v="0"/>
    <n v="162"/>
    <x v="68"/>
    <n v="2898756.0508474577"/>
    <n v="171026607"/>
    <n v="0"/>
    <n v="0.43959090529112815"/>
    <n v="0.27330697147023447"/>
    <n v="0.27839638425382551"/>
    <n v="8.7057389848118772E-3"/>
    <x v="0"/>
  </r>
  <r>
    <s v="SF"/>
    <x v="22"/>
    <x v="2"/>
    <x v="40"/>
    <x v="328"/>
    <n v="134386796"/>
    <n v="19766740"/>
    <n v="12958219"/>
    <n v="4079790"/>
    <n v="107"/>
    <n v="55"/>
    <x v="1"/>
    <n v="162"/>
    <x v="90"/>
    <n v="1599920.9813084111"/>
    <n v="171191545"/>
    <n v="0"/>
    <n v="0.78500837176275262"/>
    <n v="0.11546563237103795"/>
    <n v="7.5694269830907823E-2"/>
    <n v="2.3831726035301568E-2"/>
    <x v="1"/>
  </r>
  <r>
    <s v="BOS"/>
    <x v="26"/>
    <x v="1"/>
    <x v="33"/>
    <x v="329"/>
    <n v="167018895"/>
    <n v="0"/>
    <n v="5340903"/>
    <n v="96393"/>
    <n v="97"/>
    <n v="65"/>
    <x v="1"/>
    <n v="162"/>
    <x v="53"/>
    <n v="1774064.5773195876"/>
    <n v="172456191"/>
    <n v="-371927"/>
    <n v="0.97056460083996987"/>
    <n v="0"/>
    <n v="3.1036556602293399E-2"/>
    <n v="5.601499972129933E-4"/>
    <x v="1"/>
  </r>
  <r>
    <s v="CHC"/>
    <x v="27"/>
    <x v="11"/>
    <x v="17"/>
    <x v="330"/>
    <n v="161127834"/>
    <n v="0"/>
    <n v="10748400"/>
    <n v="216302"/>
    <n v="92"/>
    <n v="70"/>
    <x v="1"/>
    <n v="162"/>
    <x v="35"/>
    <n v="1870571.043478261"/>
    <n v="172092536"/>
    <n v="0"/>
    <n v="0.93628601068439132"/>
    <n v="0"/>
    <n v="6.2457095756901393E-2"/>
    <n v="1.256893558707276E-3"/>
    <x v="1"/>
  </r>
  <r>
    <s v="DET"/>
    <x v="9"/>
    <x v="5"/>
    <x v="8"/>
    <x v="331"/>
    <n v="148590789"/>
    <n v="15800000"/>
    <n v="7255247"/>
    <n v="497070"/>
    <n v="90"/>
    <n v="72"/>
    <x v="1"/>
    <n v="162"/>
    <x v="36"/>
    <n v="1912701.1777777779"/>
    <n v="172143106"/>
    <n v="0"/>
    <n v="0.86318175878620429"/>
    <n v="9.1784099678089925E-2"/>
    <n v="4.214660214159259E-2"/>
    <n v="2.8875393941131746E-3"/>
    <x v="1"/>
  </r>
  <r>
    <s v="LAA"/>
    <x v="19"/>
    <x v="7"/>
    <x v="1"/>
    <x v="332"/>
    <n v="40083433"/>
    <n v="108620160"/>
    <n v="18817429"/>
    <n v="5873804"/>
    <n v="63"/>
    <n v="99"/>
    <x v="0"/>
    <n v="162"/>
    <x v="76"/>
    <n v="2733174.3968253969"/>
    <n v="173394826"/>
    <n v="-1204839"/>
    <n v="0.23278608529077827"/>
    <n v="0.63081577443873083"/>
    <n v="0.10928294570345719"/>
    <n v="3.4112343594055794E-2"/>
    <x v="0"/>
  </r>
  <r>
    <s v="WSH"/>
    <x v="24"/>
    <x v="10"/>
    <x v="39"/>
    <x v="333"/>
    <n v="155857858"/>
    <n v="1369684"/>
    <n v="14062625"/>
    <n v="1017641"/>
    <n v="93"/>
    <n v="69"/>
    <x v="2"/>
    <n v="162"/>
    <x v="55"/>
    <n v="1852772.1290322582"/>
    <n v="172307808"/>
    <n v="0"/>
    <n v="0.90453160427877999"/>
    <n v="7.9490535913497307E-3"/>
    <n v="8.1613393863149836E-2"/>
    <n v="5.9059482667204498E-3"/>
    <x v="1"/>
  </r>
  <r>
    <s v="ARI"/>
    <x v="18"/>
    <x v="7"/>
    <x v="33"/>
    <x v="334"/>
    <n v="134502970"/>
    <n v="9600600"/>
    <n v="25631063"/>
    <n v="3001465"/>
    <n v="89"/>
    <n v="73"/>
    <x v="0"/>
    <n v="162"/>
    <x v="67"/>
    <n v="1941649.7640449437"/>
    <n v="172736098"/>
    <n v="70731"/>
    <n v="0.7783429091219537"/>
    <n v="5.5556832189774169E-2"/>
    <n v="0.14832204924031098"/>
    <n v="1.7368902706964201E-2"/>
    <x v="0"/>
  </r>
  <r>
    <s v="BOS"/>
    <x v="26"/>
    <x v="6"/>
    <x v="24"/>
    <x v="335"/>
    <n v="166392780"/>
    <n v="0"/>
    <n v="6823771"/>
    <n v="0"/>
    <n v="69"/>
    <n v="93"/>
    <x v="0"/>
    <n v="162"/>
    <x v="28"/>
    <n v="2510384.7971014492"/>
    <n v="173216551"/>
    <n v="0"/>
    <n v="0.96060554860026048"/>
    <n v="0"/>
    <n v="3.9394451399739509E-2"/>
    <n v="0"/>
    <x v="0"/>
  </r>
  <r>
    <s v="STL"/>
    <x v="21"/>
    <x v="10"/>
    <x v="15"/>
    <x v="336"/>
    <n v="135268456"/>
    <n v="21794083"/>
    <n v="16427751"/>
    <n v="54133"/>
    <n v="91"/>
    <n v="71"/>
    <x v="1"/>
    <n v="162"/>
    <x v="13"/>
    <n v="1907081.5714285714"/>
    <n v="173544423"/>
    <n v="0"/>
    <n v="0.77944570998977014"/>
    <n v="0.12558215714024989"/>
    <n v="9.4660206971905983E-2"/>
    <n v="3.119258980739473E-4"/>
    <x v="1"/>
  </r>
  <r>
    <s v="LAA"/>
    <x v="19"/>
    <x v="12"/>
    <x v="23"/>
    <x v="337"/>
    <n v="91914083"/>
    <n v="57532566"/>
    <n v="24127380"/>
    <n v="143570"/>
    <n v="80"/>
    <n v="82"/>
    <x v="0"/>
    <n v="162"/>
    <x v="19"/>
    <n v="2171469.9874999998"/>
    <n v="173717599"/>
    <n v="0"/>
    <n v="0.52910058352809719"/>
    <n v="0.33118444147964538"/>
    <n v="0.13888851871594196"/>
    <n v="8.2645627631544691E-4"/>
    <x v="0"/>
  </r>
  <r>
    <s v="BAL"/>
    <x v="0"/>
    <x v="11"/>
    <x v="2"/>
    <x v="338"/>
    <n v="163560704"/>
    <n v="0"/>
    <n v="7267168"/>
    <n v="3301913"/>
    <n v="75"/>
    <n v="87"/>
    <x v="0"/>
    <n v="162"/>
    <x v="43"/>
    <n v="2321730.4666666668"/>
    <n v="174129785"/>
    <n v="0"/>
    <n v="0.93930342818719958"/>
    <n v="0"/>
    <n v="4.1734204174202594E-2"/>
    <n v="1.8962367638597842E-2"/>
    <x v="0"/>
  </r>
  <r>
    <s v="LAA"/>
    <x v="19"/>
    <x v="8"/>
    <x v="12"/>
    <x v="339"/>
    <n v="89811509"/>
    <n v="39667205"/>
    <n v="42327190"/>
    <n v="2484469"/>
    <n v="74"/>
    <n v="88"/>
    <x v="0"/>
    <n v="162"/>
    <x v="48"/>
    <n v="2355275.3108108109"/>
    <n v="174290373"/>
    <n v="0"/>
    <n v="0.51529816279640417"/>
    <n v="0.22759263358739842"/>
    <n v="0.24285443465084558"/>
    <n v="1.4254768965351862E-2"/>
    <x v="0"/>
  </r>
  <r>
    <s v="PHI"/>
    <x v="23"/>
    <x v="5"/>
    <x v="21"/>
    <x v="340"/>
    <n v="145123014"/>
    <n v="25000000"/>
    <n v="4263731"/>
    <n v="674860"/>
    <n v="73"/>
    <n v="89"/>
    <x v="0"/>
    <n v="162"/>
    <x v="29"/>
    <n v="2398104.1780821919"/>
    <n v="175061605"/>
    <n v="0"/>
    <n v="0.82898254017492867"/>
    <n v="0.14280687075843959"/>
    <n v="2.4355603274630093E-2"/>
    <n v="3.8549857920016214E-3"/>
    <x v="0"/>
  </r>
  <r>
    <s v="TOR"/>
    <x v="13"/>
    <x v="11"/>
    <x v="33"/>
    <x v="341"/>
    <n v="127315534"/>
    <n v="22811106"/>
    <n v="21914802"/>
    <n v="3576045"/>
    <n v="76"/>
    <n v="86"/>
    <x v="0"/>
    <n v="162"/>
    <x v="32"/>
    <n v="2310756.4078947366"/>
    <n v="175617487"/>
    <n v="0"/>
    <n v="0.72495932025265797"/>
    <n v="0.12989085762285166"/>
    <n v="0.12478712897195711"/>
    <n v="2.0362693152533268E-2"/>
    <x v="0"/>
  </r>
  <r>
    <s v="STL"/>
    <x v="21"/>
    <x v="7"/>
    <x v="25"/>
    <x v="342"/>
    <n v="112213666"/>
    <n v="44602200"/>
    <n v="18024055"/>
    <n v="1092838"/>
    <n v="83"/>
    <n v="79"/>
    <x v="0"/>
    <n v="162"/>
    <x v="12"/>
    <n v="2119671.7951807231"/>
    <n v="175932759"/>
    <n v="0"/>
    <n v="0.63782132809046665"/>
    <n v="0.25351844792020795"/>
    <n v="0.10244854399174175"/>
    <n v="6.2116799975836219E-3"/>
    <x v="0"/>
  </r>
  <r>
    <s v="TOR"/>
    <x v="13"/>
    <x v="3"/>
    <x v="24"/>
    <x v="343"/>
    <n v="141662800"/>
    <n v="25698159"/>
    <n v="7955708"/>
    <n v="1685299"/>
    <n v="92"/>
    <n v="70"/>
    <x v="2"/>
    <n v="162"/>
    <x v="35"/>
    <n v="1923934.4130434783"/>
    <n v="177001966"/>
    <n v="0"/>
    <n v="0.80034591254201093"/>
    <n v="0.14518572635515245"/>
    <n v="4.4947003582999752E-2"/>
    <n v="9.5213575198368136E-3"/>
    <x v="1"/>
  </r>
  <r>
    <s v="ATL"/>
    <x v="17"/>
    <x v="3"/>
    <x v="30"/>
    <x v="344"/>
    <n v="143633732"/>
    <n v="20918726"/>
    <n v="10710954"/>
    <n v="1875476"/>
    <n v="101"/>
    <n v="61"/>
    <x v="1"/>
    <n v="162"/>
    <x v="37"/>
    <n v="1753850.3762376239"/>
    <n v="177138888"/>
    <n v="0"/>
    <n v="0.81085375222633216"/>
    <n v="0.11809222828586347"/>
    <n v="6.0466417741089129E-2"/>
    <n v="1.0587601746715266E-2"/>
    <x v="1"/>
  </r>
  <r>
    <s v="LAA"/>
    <x v="19"/>
    <x v="3"/>
    <x v="12"/>
    <x v="345"/>
    <n v="118104253"/>
    <n v="6978028"/>
    <n v="49768044"/>
    <n v="2877486"/>
    <n v="73"/>
    <n v="89"/>
    <x v="0"/>
    <n v="162"/>
    <x v="29"/>
    <n v="2434627.5479452056"/>
    <n v="177727811"/>
    <n v="0"/>
    <n v="0.66452319609112831"/>
    <n v="3.9262442724847378E-2"/>
    <n v="0.2800239519069978"/>
    <n v="1.6190409277026429E-2"/>
    <x v="0"/>
  </r>
  <r>
    <s v="PHI"/>
    <x v="23"/>
    <x v="6"/>
    <x v="19"/>
    <x v="346"/>
    <n v="167544458"/>
    <n v="0"/>
    <n v="10318033"/>
    <n v="0"/>
    <n v="81"/>
    <n v="81"/>
    <x v="0"/>
    <n v="162"/>
    <x v="44"/>
    <n v="2195833.222222222"/>
    <n v="177862491"/>
    <n v="0"/>
    <n v="0.94198870744478669"/>
    <n v="0"/>
    <n v="5.801129255521334E-2"/>
    <n v="0"/>
    <x v="0"/>
  </r>
  <r>
    <s v="SF"/>
    <x v="22"/>
    <x v="10"/>
    <x v="8"/>
    <x v="347"/>
    <n v="137019224"/>
    <n v="9768564"/>
    <n v="31241902"/>
    <n v="24420"/>
    <n v="77"/>
    <n v="85"/>
    <x v="0"/>
    <n v="162"/>
    <x v="17"/>
    <n v="2312391.0389610389"/>
    <n v="178054110"/>
    <n v="0"/>
    <n v="0.76953699074960979"/>
    <n v="5.4862895329964585E-2"/>
    <n v="0.17546296460104177"/>
    <n v="1.3714931938386594E-4"/>
    <x v="0"/>
  </r>
  <r>
    <s v="SF"/>
    <x v="22"/>
    <x v="8"/>
    <x v="43"/>
    <x v="348"/>
    <n v="176684532"/>
    <n v="487120"/>
    <n v="1082965"/>
    <n v="579729"/>
    <n v="87"/>
    <n v="75"/>
    <x v="2"/>
    <n v="162"/>
    <x v="80"/>
    <n v="2055567.1724137932"/>
    <n v="178834346"/>
    <n v="-2"/>
    <n v="0.98797875200079022"/>
    <n v="2.7238615866759909E-3"/>
    <n v="6.0556880506129184E-3"/>
    <n v="3.2417095454550945E-3"/>
    <x v="1"/>
  </r>
  <r>
    <s v="SD"/>
    <x v="10"/>
    <x v="2"/>
    <x v="21"/>
    <x v="349"/>
    <n v="125977584"/>
    <n v="49745500"/>
    <n v="2549590"/>
    <n v="1494672"/>
    <n v="79"/>
    <n v="83"/>
    <x v="0"/>
    <n v="162"/>
    <x v="27"/>
    <n v="2275536.0253164559"/>
    <n v="179767346"/>
    <n v="0"/>
    <n v="0.70078124199486147"/>
    <n v="0.27672155765152145"/>
    <n v="1.4182720370138856E-2"/>
    <n v="8.3144799834782013E-3"/>
    <x v="0"/>
  </r>
  <r>
    <s v="NYY"/>
    <x v="28"/>
    <x v="12"/>
    <x v="23"/>
    <x v="350"/>
    <n v="148010829"/>
    <n v="22568376"/>
    <n v="9249414"/>
    <n v="269532"/>
    <n v="100"/>
    <n v="62"/>
    <x v="2"/>
    <n v="162"/>
    <x v="38"/>
    <n v="1800981.51"/>
    <n v="180098151"/>
    <n v="0"/>
    <n v="0.82183425081360217"/>
    <n v="0.12531153637440731"/>
    <n v="5.1357628874268674E-2"/>
    <n v="1.4965839377218259E-3"/>
    <x v="1"/>
  </r>
  <r>
    <s v="SF"/>
    <x v="22"/>
    <x v="13"/>
    <x v="39"/>
    <x v="351"/>
    <n v="133109385"/>
    <n v="38423837"/>
    <n v="7522089"/>
    <n v="1108319"/>
    <n v="84"/>
    <n v="78"/>
    <x v="0"/>
    <n v="162"/>
    <x v="72"/>
    <n v="2144805.1190476189"/>
    <n v="180163630"/>
    <n v="0"/>
    <n v="0.73882495040758223"/>
    <n v="0.21327188511909978"/>
    <n v="4.1751428964880426E-2"/>
    <n v="6.151735508437524E-3"/>
    <x v="0"/>
  </r>
  <r>
    <s v="BOS"/>
    <x v="26"/>
    <x v="9"/>
    <x v="32"/>
    <x v="352"/>
    <n v="128063857"/>
    <n v="28736341"/>
    <n v="22444333"/>
    <n v="1682265"/>
    <n v="78"/>
    <n v="84"/>
    <x v="0"/>
    <n v="162"/>
    <x v="79"/>
    <n v="2319574.3076923075"/>
    <n v="180926796"/>
    <n v="0"/>
    <n v="0.7078213942394691"/>
    <n v="0.15882855185254041"/>
    <n v="0.12405201162131893"/>
    <n v="9.2980422866715661E-3"/>
    <x v="0"/>
  </r>
  <r>
    <s v="WSH"/>
    <x v="24"/>
    <x v="12"/>
    <x v="16"/>
    <x v="353"/>
    <n v="130197979"/>
    <n v="8999485"/>
    <n v="41161720"/>
    <n v="1023425"/>
    <n v="82"/>
    <n v="80"/>
    <x v="0"/>
    <n v="162"/>
    <x v="65"/>
    <n v="2211983.0365853659"/>
    <n v="181382609"/>
    <n v="0"/>
    <n v="0.71780850279863384"/>
    <n v="4.9616030167478738E-2"/>
    <n v="0.22693311242424571"/>
    <n v="5.6423546096417655E-3"/>
    <x v="0"/>
  </r>
  <r>
    <s v="WSH"/>
    <x v="24"/>
    <x v="11"/>
    <x v="21"/>
    <x v="354"/>
    <n v="164539852"/>
    <n v="11351707"/>
    <n v="5952690"/>
    <n v="394605"/>
    <n v="97"/>
    <n v="65"/>
    <x v="1"/>
    <n v="162"/>
    <x v="53"/>
    <n v="1878751.0721649486"/>
    <n v="182238854"/>
    <n v="0"/>
    <n v="0.90288019480192738"/>
    <n v="6.2290267694506025E-2"/>
    <n v="3.266421989242755E-2"/>
    <n v="2.1653176111390603E-3"/>
    <x v="1"/>
  </r>
  <r>
    <s v="LAA"/>
    <x v="19"/>
    <x v="2"/>
    <x v="37"/>
    <x v="355"/>
    <n v="33967088"/>
    <n v="100777679"/>
    <n v="46663119"/>
    <n v="1341674"/>
    <n v="77"/>
    <n v="85"/>
    <x v="0"/>
    <n v="162"/>
    <x v="17"/>
    <n v="2373370.9090909092"/>
    <n v="182749560"/>
    <n v="0"/>
    <n v="0.18586686610900732"/>
    <n v="0.55145237558985094"/>
    <n v="0.25533915922971306"/>
    <n v="7.3415990714286805E-3"/>
    <x v="0"/>
  </r>
  <r>
    <s v="BOS"/>
    <x v="26"/>
    <x v="13"/>
    <x v="20"/>
    <x v="356"/>
    <n v="95030446"/>
    <n v="42985571"/>
    <n v="45443277"/>
    <n v="22184"/>
    <n v="78"/>
    <n v="84"/>
    <x v="0"/>
    <n v="162"/>
    <x v="79"/>
    <n v="2352326.641025641"/>
    <n v="183481478"/>
    <n v="0"/>
    <n v="0.51792936832566827"/>
    <n v="0.23427744025475966"/>
    <n v="0.24767228548267961"/>
    <n v="1.2090593689244208E-4"/>
    <x v="0"/>
  </r>
  <r>
    <s v="HOU"/>
    <x v="3"/>
    <x v="3"/>
    <x v="30"/>
    <x v="357"/>
    <n v="142736145"/>
    <n v="21550000"/>
    <n v="14691453"/>
    <n v="2135613"/>
    <n v="106"/>
    <n v="56"/>
    <x v="1"/>
    <n v="162"/>
    <x v="91"/>
    <n v="1733884.8679245282"/>
    <n v="181113211"/>
    <n v="2678585"/>
    <n v="0.77661869629915359"/>
    <n v="0.11725224122626235"/>
    <n v="7.9935303532264301E-2"/>
    <n v="1.1619740633036743E-2"/>
    <x v="1"/>
  </r>
  <r>
    <s v="BOS"/>
    <x v="26"/>
    <x v="2"/>
    <x v="21"/>
    <x v="358"/>
    <n v="141452731"/>
    <n v="2832729"/>
    <n v="41374493"/>
    <n v="1058115"/>
    <n v="92"/>
    <n v="70"/>
    <x v="2"/>
    <n v="162"/>
    <x v="35"/>
    <n v="2029544.2173913044"/>
    <n v="186718068"/>
    <n v="0"/>
    <n v="0.75757387871001325"/>
    <n v="1.5171156333944072E-2"/>
    <n v="0.22158805220713831"/>
    <n v="5.6669127489044069E-3"/>
    <x v="1"/>
  </r>
  <r>
    <s v="CHC"/>
    <x v="27"/>
    <x v="8"/>
    <x v="17"/>
    <x v="359"/>
    <n v="165798832"/>
    <n v="2050500"/>
    <n v="17412586"/>
    <n v="1510576"/>
    <n v="103"/>
    <n v="58"/>
    <x v="1"/>
    <n v="161"/>
    <x v="92"/>
    <n v="1813325.1844660195"/>
    <n v="186772494"/>
    <n v="0"/>
    <n v="0.88770476020949851"/>
    <n v="1.0978597308873543E-2"/>
    <n v="9.3228856279019334E-2"/>
    <n v="8.0877862026086135E-3"/>
    <x v="1"/>
  </r>
  <r>
    <s v="SF"/>
    <x v="22"/>
    <x v="9"/>
    <x v="26"/>
    <x v="360"/>
    <n v="130565831"/>
    <n v="39922449"/>
    <n v="15271991"/>
    <n v="1637894"/>
    <n v="79"/>
    <n v="83"/>
    <x v="0"/>
    <n v="162"/>
    <x v="27"/>
    <n v="2372128.6708860761"/>
    <n v="187398165"/>
    <n v="0"/>
    <n v="0.69672950639618059"/>
    <n v="0.21303543180372123"/>
    <n v="8.1494880165982414E-2"/>
    <n v="8.7401816341157873E-3"/>
    <x v="0"/>
  </r>
  <r>
    <s v="DET"/>
    <x v="9"/>
    <x v="11"/>
    <x v="11"/>
    <x v="361"/>
    <n v="91135320"/>
    <n v="18000000"/>
    <n v="77874916"/>
    <n v="1018638"/>
    <n v="64"/>
    <n v="98"/>
    <x v="0"/>
    <n v="162"/>
    <x v="60"/>
    <n v="2937951.15625"/>
    <n v="188028874"/>
    <n v="0"/>
    <n v="0.48468789958291192"/>
    <n v="9.5729978152185286E-2"/>
    <n v="0.41416466707129246"/>
    <n v="5.4174551936103177E-3"/>
    <x v="0"/>
  </r>
  <r>
    <s v="SF"/>
    <x v="22"/>
    <x v="11"/>
    <x v="26"/>
    <x v="362"/>
    <n v="171792784"/>
    <n v="7219058"/>
    <n v="6354972"/>
    <n v="3039995"/>
    <n v="64"/>
    <n v="98"/>
    <x v="0"/>
    <n v="162"/>
    <x v="60"/>
    <n v="2943856.390625"/>
    <n v="188406809"/>
    <n v="0"/>
    <n v="0.91181834091781688"/>
    <n v="3.8316332824255839E-2"/>
    <n v="3.3730054841064686E-2"/>
    <n v="1.6135271416862645E-2"/>
    <x v="0"/>
  </r>
  <r>
    <s v="BOS"/>
    <x v="26"/>
    <x v="7"/>
    <x v="23"/>
    <x v="363"/>
    <n v="77327289"/>
    <n v="76400974"/>
    <n v="31745306"/>
    <n v="3063876"/>
    <n v="81"/>
    <n v="81"/>
    <x v="0"/>
    <n v="162"/>
    <x v="44"/>
    <n v="2327622.777777778"/>
    <n v="188537445"/>
    <n v="0"/>
    <n v="0.41014287108855219"/>
    <n v="0.40522970914345424"/>
    <n v="0.16837666385051522"/>
    <n v="1.6250755917478356E-2"/>
    <x v="0"/>
  </r>
  <r>
    <s v="CHC"/>
    <x v="27"/>
    <x v="9"/>
    <x v="24"/>
    <x v="364"/>
    <n v="134751105"/>
    <n v="12522069"/>
    <n v="35403285"/>
    <n v="6732899"/>
    <n v="83"/>
    <n v="79"/>
    <x v="0"/>
    <n v="162"/>
    <x v="12"/>
    <n v="2282040.4578313255"/>
    <n v="189409358"/>
    <n v="0"/>
    <n v="0.71142791688254392"/>
    <n v="6.6111142196047148E-2"/>
    <n v="0.18691412807597393"/>
    <n v="3.5546812845435018E-2"/>
    <x v="0"/>
  </r>
  <r>
    <s v="PHI"/>
    <x v="23"/>
    <x v="2"/>
    <x v="4"/>
    <x v="365"/>
    <n v="141014046"/>
    <n v="19936225"/>
    <n v="13803916"/>
    <n v="5759036"/>
    <n v="82"/>
    <n v="80"/>
    <x v="0"/>
    <n v="162"/>
    <x v="65"/>
    <n v="2323331.987804878"/>
    <n v="180513223"/>
    <n v="10000000"/>
    <n v="0.74017983518130914"/>
    <n v="0.10464483612247744"/>
    <n v="7.2456471958379495E-2"/>
    <n v="3.0229061843124662E-2"/>
    <x v="0"/>
  </r>
  <r>
    <s v="HOU"/>
    <x v="3"/>
    <x v="2"/>
    <x v="37"/>
    <x v="366"/>
    <n v="146877726"/>
    <n v="39870546"/>
    <n v="4134205"/>
    <n v="3339565"/>
    <n v="95"/>
    <n v="67"/>
    <x v="1"/>
    <n v="162"/>
    <x v="70"/>
    <n v="2044442.547368421"/>
    <n v="194222042"/>
    <n v="0"/>
    <n v="0.7562361330749473"/>
    <n v="0.20528332206495903"/>
    <n v="2.1285972268791201E-2"/>
    <n v="1.7194572591302484E-2"/>
    <x v="1"/>
  </r>
  <r>
    <s v="CHC"/>
    <x v="27"/>
    <x v="12"/>
    <x v="34"/>
    <x v="367"/>
    <n v="152092957"/>
    <n v="37451220"/>
    <n v="1216894"/>
    <n v="298862"/>
    <n v="95"/>
    <n v="68"/>
    <x v="2"/>
    <n v="163"/>
    <x v="93"/>
    <n v="2044841.4"/>
    <n v="191059933"/>
    <n v="3200000"/>
    <n v="0.78293529010946383"/>
    <n v="0.19278921505650884"/>
    <n v="6.2642562529865589E-3"/>
    <n v="1.5384644449558211E-3"/>
    <x v="1"/>
  </r>
  <r>
    <s v="LAD"/>
    <x v="29"/>
    <x v="12"/>
    <x v="34"/>
    <x v="368"/>
    <n v="160502596"/>
    <n v="3908850"/>
    <n v="30541679"/>
    <n v="4628920"/>
    <n v="92"/>
    <n v="71"/>
    <x v="1"/>
    <n v="163"/>
    <x v="39"/>
    <n v="2169370.0543478262"/>
    <n v="199582045"/>
    <n v="0"/>
    <n v="0.80419356360438132"/>
    <n v="1.9585178616643596E-2"/>
    <n v="0.15302818948468036"/>
    <n v="2.3193068294294711E-2"/>
    <x v="1"/>
  </r>
  <r>
    <s v="DET"/>
    <x v="9"/>
    <x v="8"/>
    <x v="4"/>
    <x v="369"/>
    <n v="163019728"/>
    <n v="28189200"/>
    <n v="8675064"/>
    <n v="295293"/>
    <n v="86"/>
    <n v="75"/>
    <x v="0"/>
    <n v="161"/>
    <x v="94"/>
    <n v="2327666.1046511629"/>
    <n v="200179285"/>
    <n v="0"/>
    <n v="0.81436861961016593"/>
    <n v="0.14081976564158474"/>
    <n v="4.3336472102995072E-2"/>
    <n v="1.4751426452542279E-3"/>
    <x v="0"/>
  </r>
  <r>
    <s v="NYM"/>
    <x v="25"/>
    <x v="2"/>
    <x v="40"/>
    <x v="370"/>
    <n v="176565754"/>
    <n v="11933570"/>
    <n v="9524946"/>
    <n v="3735419"/>
    <n v="77"/>
    <n v="85"/>
    <x v="0"/>
    <n v="162"/>
    <x v="17"/>
    <n v="2612846.6103896103"/>
    <n v="201759689"/>
    <n v="-570500"/>
    <n v="0.87761054596228827"/>
    <n v="5.9315165289522589E-2"/>
    <n v="4.7343229759726303E-2"/>
    <n v="1.8566698432290016E-2"/>
    <x v="0"/>
  </r>
  <r>
    <s v="SF"/>
    <x v="22"/>
    <x v="7"/>
    <x v="16"/>
    <x v="371"/>
    <n v="102704227"/>
    <n v="53113846"/>
    <n v="44357646"/>
    <n v="1791662"/>
    <n v="80"/>
    <n v="82"/>
    <x v="0"/>
    <n v="162"/>
    <x v="19"/>
    <n v="2524592.2625000002"/>
    <n v="201967381"/>
    <n v="0"/>
    <n v="0.50851888305666548"/>
    <n v="0.2629822981167439"/>
    <n v="0.21962777246688167"/>
    <n v="8.8710463597089471E-3"/>
    <x v="0"/>
  </r>
  <r>
    <s v="CHW"/>
    <x v="12"/>
    <x v="3"/>
    <x v="40"/>
    <x v="372"/>
    <n v="154697729"/>
    <n v="20008123"/>
    <n v="25306501"/>
    <n v="3192973"/>
    <n v="81"/>
    <n v="81"/>
    <x v="0"/>
    <n v="162"/>
    <x v="44"/>
    <n v="2508707.7283950616"/>
    <n v="203205326"/>
    <n v="0"/>
    <n v="0.76128776762475214"/>
    <n v="9.8462591477548184E-2"/>
    <n v="0.12453660294317286"/>
    <n v="1.5713037954526842E-2"/>
    <x v="0"/>
  </r>
  <r>
    <s v="NYY"/>
    <x v="28"/>
    <x v="2"/>
    <x v="33"/>
    <x v="373"/>
    <n v="141518753"/>
    <n v="48217362"/>
    <n v="12129712"/>
    <n v="1445186"/>
    <n v="92"/>
    <n v="70"/>
    <x v="2"/>
    <n v="162"/>
    <x v="35"/>
    <n v="2209902.3152173911"/>
    <n v="203311013"/>
    <n v="0"/>
    <n v="0.69607027633077601"/>
    <n v="0.23716060083769294"/>
    <n v="5.9660870412366694E-2"/>
    <n v="7.1082524191643272E-3"/>
    <x v="1"/>
  </r>
  <r>
    <s v="ATL"/>
    <x v="17"/>
    <x v="9"/>
    <x v="24"/>
    <x v="374"/>
    <n v="158186507"/>
    <n v="34160535"/>
    <n v="11447888"/>
    <n v="894201"/>
    <n v="104"/>
    <n v="58"/>
    <x v="1"/>
    <n v="162"/>
    <x v="95"/>
    <n v="1968164.7211538462"/>
    <n v="204689131"/>
    <n v="0"/>
    <n v="0.77281341821711091"/>
    <n v="0.16688983353981801"/>
    <n v="5.5928167480470664E-2"/>
    <n v="4.3685807626004337E-3"/>
    <x v="1"/>
  </r>
  <r>
    <s v="SF"/>
    <x v="22"/>
    <x v="12"/>
    <x v="17"/>
    <x v="375"/>
    <n v="119689218"/>
    <n v="64341827"/>
    <n v="21136053"/>
    <n v="498250"/>
    <n v="73"/>
    <n v="89"/>
    <x v="0"/>
    <n v="162"/>
    <x v="29"/>
    <n v="2817333.5342465756"/>
    <n v="205665348"/>
    <n v="0"/>
    <n v="0.58196103117964237"/>
    <n v="0.31284719387925281"/>
    <n v="0.10276915000771059"/>
    <n v="2.4226249333942243E-3"/>
    <x v="0"/>
  </r>
  <r>
    <s v="LAD"/>
    <x v="29"/>
    <x v="10"/>
    <x v="32"/>
    <x v="376"/>
    <n v="157394622"/>
    <n v="1341835"/>
    <n v="41972880"/>
    <n v="5736477"/>
    <n v="106"/>
    <n v="56"/>
    <x v="1"/>
    <n v="162"/>
    <x v="91"/>
    <n v="1952837.8679245282"/>
    <n v="206445814"/>
    <n v="555000"/>
    <n v="0.76035750274875735"/>
    <n v="6.4822691953278985E-3"/>
    <n v="0.20276673887862104"/>
    <n v="2.7712340300265679E-2"/>
    <x v="1"/>
  </r>
  <r>
    <s v="BOS"/>
    <x v="26"/>
    <x v="8"/>
    <x v="24"/>
    <x v="377"/>
    <n v="165121274"/>
    <n v="19567513"/>
    <n v="2194948"/>
    <n v="20875101"/>
    <n v="93"/>
    <n v="69"/>
    <x v="1"/>
    <n v="162"/>
    <x v="55"/>
    <n v="2233965.9784946237"/>
    <n v="207758836"/>
    <n v="0"/>
    <n v="0.79477377318382747"/>
    <n v="9.4183782392773904E-2"/>
    <n v="1.0564883988857158E-2"/>
    <n v="0.10047756043454152"/>
    <x v="1"/>
  </r>
  <r>
    <s v="NYY"/>
    <x v="28"/>
    <x v="11"/>
    <x v="1"/>
    <x v="378"/>
    <n v="161826896"/>
    <n v="7867680"/>
    <n v="36170687"/>
    <n v="179239"/>
    <n v="91"/>
    <n v="71"/>
    <x v="2"/>
    <n v="162"/>
    <x v="13"/>
    <n v="2297192.3296703296"/>
    <n v="206044502"/>
    <n v="3000000"/>
    <n v="0.77412653502841222"/>
    <n v="3.7636388064394059E-2"/>
    <n v="0.1730286453551407"/>
    <n v="8.5742030182645035E-4"/>
    <x v="1"/>
  </r>
  <r>
    <s v="BOS"/>
    <x v="26"/>
    <x v="11"/>
    <x v="26"/>
    <x v="379"/>
    <n v="172158546"/>
    <n v="5941108"/>
    <n v="30597474"/>
    <n v="1175380"/>
    <n v="93"/>
    <n v="69"/>
    <x v="1"/>
    <n v="162"/>
    <x v="55"/>
    <n v="2256693.634408602"/>
    <n v="209872508"/>
    <n v="0"/>
    <n v="0.82030060840555641"/>
    <n v="2.830817650494747E-2"/>
    <n v="0.1457907674119947"/>
    <n v="5.6004476775014288E-3"/>
    <x v="1"/>
  </r>
  <r>
    <s v="NYY"/>
    <x v="28"/>
    <x v="4"/>
    <x v="19"/>
    <x v="380"/>
    <n v="210950685"/>
    <n v="0"/>
    <n v="0"/>
    <n v="0"/>
    <n v="97"/>
    <n v="65"/>
    <x v="1"/>
    <n v="162"/>
    <x v="53"/>
    <n v="2174749.3298969073"/>
    <n v="210950685"/>
    <n v="0"/>
    <n v="1"/>
    <n v="0"/>
    <n v="0"/>
    <n v="0"/>
    <x v="1"/>
  </r>
  <r>
    <s v="BOS"/>
    <x v="26"/>
    <x v="3"/>
    <x v="34"/>
    <x v="381"/>
    <n v="109769156"/>
    <n v="50192677"/>
    <n v="48696520"/>
    <n v="3153778"/>
    <n v="78"/>
    <n v="84"/>
    <x v="0"/>
    <n v="162"/>
    <x v="79"/>
    <n v="2715540.141025641"/>
    <n v="211812131"/>
    <n v="0"/>
    <n v="0.51823828730565014"/>
    <n v="0.23696790529905956"/>
    <n v="0.22990430137356013"/>
    <n v="1.4889506021730172E-2"/>
    <x v="0"/>
  </r>
  <r>
    <s v="NYY"/>
    <x v="28"/>
    <x v="5"/>
    <x v="19"/>
    <x v="382"/>
    <n v="196734750"/>
    <n v="0"/>
    <n v="15663048"/>
    <n v="114519"/>
    <n v="84"/>
    <n v="78"/>
    <x v="0"/>
    <n v="162"/>
    <x v="72"/>
    <n v="2529908.5357142859"/>
    <n v="212512317"/>
    <n v="0"/>
    <n v="0.92575692918542696"/>
    <n v="0"/>
    <n v="7.3704189108248247E-2"/>
    <n v="5.3888170632481499E-4"/>
    <x v="0"/>
  </r>
  <r>
    <s v="TOR"/>
    <x v="13"/>
    <x v="9"/>
    <x v="40"/>
    <x v="383"/>
    <n v="194200854"/>
    <n v="6851292"/>
    <n v="9776101"/>
    <n v="3802638"/>
    <n v="89"/>
    <n v="73"/>
    <x v="2"/>
    <n v="162"/>
    <x v="67"/>
    <n v="2411582.9775280897"/>
    <n v="214630885"/>
    <n v="0"/>
    <n v="0.90481318194257088"/>
    <n v="3.1921277312908627E-2"/>
    <n v="4.5548435398754472E-2"/>
    <n v="1.7717105345766058E-2"/>
    <x v="1"/>
  </r>
  <r>
    <s v="TOR"/>
    <x v="13"/>
    <x v="7"/>
    <x v="2"/>
    <x v="384"/>
    <n v="132130693"/>
    <n v="26456777"/>
    <n v="54615363"/>
    <n v="5199986"/>
    <n v="74"/>
    <n v="88"/>
    <x v="0"/>
    <n v="162"/>
    <x v="48"/>
    <n v="2951389.445945946"/>
    <n v="218402819"/>
    <n v="0"/>
    <n v="0.60498620670276237"/>
    <n v="0.12113752524412243"/>
    <n v="0.25006711566300799"/>
    <n v="2.38091523901072E-2"/>
    <x v="0"/>
  </r>
  <r>
    <s v="NYY"/>
    <x v="28"/>
    <x v="8"/>
    <x v="16"/>
    <x v="385"/>
    <n v="159213515"/>
    <n v="10509409"/>
    <n v="50238466"/>
    <n v="781986"/>
    <n v="84"/>
    <n v="78"/>
    <x v="0"/>
    <n v="162"/>
    <x v="72"/>
    <n v="2627897.3333333335"/>
    <n v="220743376"/>
    <n v="0"/>
    <n v="0.72126066876860673"/>
    <n v="4.7609170387971231E-2"/>
    <n v="0.22758764910798501"/>
    <n v="3.5425117354370805E-3"/>
    <x v="0"/>
  </r>
  <r>
    <s v="NYY"/>
    <x v="28"/>
    <x v="13"/>
    <x v="16"/>
    <x v="386"/>
    <n v="187465727"/>
    <n v="24415379"/>
    <n v="8459561"/>
    <n v="394492"/>
    <n v="87"/>
    <n v="75"/>
    <x v="2"/>
    <n v="162"/>
    <x v="80"/>
    <n v="2543019.0689655175"/>
    <n v="220735159"/>
    <n v="507500"/>
    <n v="0.84733083505383111"/>
    <n v="0.11035565704351799"/>
    <n v="3.8236572631320617E-2"/>
    <n v="1.7830738510514828E-3"/>
    <x v="1"/>
  </r>
  <r>
    <s v="CHC"/>
    <x v="27"/>
    <x v="10"/>
    <x v="37"/>
    <x v="387"/>
    <n v="197673216"/>
    <n v="11093615"/>
    <n v="8275227"/>
    <n v="4538027"/>
    <n v="84"/>
    <n v="78"/>
    <x v="0"/>
    <n v="162"/>
    <x v="72"/>
    <n v="2637858.1547619049"/>
    <n v="221580085"/>
    <n v="0"/>
    <n v="0.89210732092642708"/>
    <n v="5.0065938913237622E-2"/>
    <n v="3.7346438422026965E-2"/>
    <n v="2.0480301738308296E-2"/>
    <x v="0"/>
  </r>
  <r>
    <s v="NYY"/>
    <x v="28"/>
    <x v="10"/>
    <x v="28"/>
    <x v="388"/>
    <n v="171935047"/>
    <n v="42325463"/>
    <n v="7772219"/>
    <n v="408808"/>
    <n v="103"/>
    <n v="59"/>
    <x v="1"/>
    <n v="162"/>
    <x v="89"/>
    <n v="2165233.368932039"/>
    <n v="222441537"/>
    <n v="577500"/>
    <n v="0.77094336570021149"/>
    <n v="0.18978408107824446"/>
    <n v="3.4850024933073313E-2"/>
    <n v="1.8330632465245556E-3"/>
    <x v="1"/>
  </r>
  <r>
    <s v="SD"/>
    <x v="10"/>
    <x v="3"/>
    <x v="43"/>
    <x v="389"/>
    <n v="173934032"/>
    <n v="10925000"/>
    <n v="34528348"/>
    <n v="921017"/>
    <n v="89"/>
    <n v="73"/>
    <x v="2"/>
    <n v="162"/>
    <x v="67"/>
    <n v="2522603.3033707864"/>
    <n v="220308397"/>
    <n v="4203297"/>
    <n v="0.77472148065481172"/>
    <n v="4.8661162389162675E-2"/>
    <n v="0.15379309373524214"/>
    <n v="4.1023119267898801E-3"/>
    <x v="1"/>
  </r>
  <r>
    <s v="TEX"/>
    <x v="15"/>
    <x v="7"/>
    <x v="39"/>
    <x v="390"/>
    <n v="141209070"/>
    <n v="70265121"/>
    <n v="8523079"/>
    <n v="798138"/>
    <n v="78"/>
    <n v="84"/>
    <x v="0"/>
    <n v="162"/>
    <x v="79"/>
    <n v="2891607.794871795"/>
    <n v="220795408"/>
    <n v="4750000"/>
    <n v="0.62607823077470948"/>
    <n v="0.311534256552011"/>
    <n v="3.7788749837904034E-2"/>
    <n v="3.5387020603851087E-3"/>
    <x v="0"/>
  </r>
  <r>
    <s v="NYY"/>
    <x v="28"/>
    <x v="6"/>
    <x v="44"/>
    <x v="391"/>
    <n v="213651218"/>
    <n v="0"/>
    <n v="11938524"/>
    <n v="0"/>
    <n v="95"/>
    <n v="67"/>
    <x v="1"/>
    <n v="162"/>
    <x v="70"/>
    <n v="2374628.8631578949"/>
    <n v="225589742"/>
    <n v="0"/>
    <n v="0.9470786043099424"/>
    <n v="0"/>
    <n v="5.2921395690057577E-2"/>
    <n v="0"/>
    <x v="1"/>
  </r>
  <r>
    <s v="BOS"/>
    <x v="26"/>
    <x v="12"/>
    <x v="28"/>
    <x v="392"/>
    <n v="167955780"/>
    <n v="18074000"/>
    <n v="41755860"/>
    <n v="158220"/>
    <n v="108"/>
    <n v="54"/>
    <x v="1"/>
    <n v="162"/>
    <x v="2"/>
    <n v="2105545"/>
    <n v="227943860"/>
    <n v="-545000"/>
    <n v="0.73859552330209566"/>
    <n v="7.9481489045283696E-2"/>
    <n v="0.18362387568697575"/>
    <n v="6.9578185220453613E-4"/>
    <x v="1"/>
  </r>
  <r>
    <s v="LAA"/>
    <x v="19"/>
    <x v="9"/>
    <x v="9"/>
    <x v="393"/>
    <n v="43769159"/>
    <n v="147537321"/>
    <n v="28243281"/>
    <n v="1334515"/>
    <n v="73"/>
    <n v="89"/>
    <x v="0"/>
    <n v="162"/>
    <x v="29"/>
    <n v="3121702.4109589043"/>
    <n v="220884276"/>
    <n v="7000000"/>
    <n v="0.19206748165459209"/>
    <n v="0.64742211963760066"/>
    <n v="0.12393694508347737"/>
    <n v="5.8561082994598541E-3"/>
    <x v="0"/>
  </r>
  <r>
    <s v="BOS"/>
    <x v="26"/>
    <x v="10"/>
    <x v="26"/>
    <x v="394"/>
    <n v="165856221"/>
    <n v="37583783"/>
    <n v="25887800"/>
    <n v="394076"/>
    <n v="84"/>
    <n v="78"/>
    <x v="0"/>
    <n v="162"/>
    <x v="72"/>
    <n v="2728177.1428571427"/>
    <n v="229721880"/>
    <n v="-555000"/>
    <n v="0.72373556335889377"/>
    <n v="0.16400180951104279"/>
    <n v="0.11296484029454867"/>
    <n v="1.719602762842519E-3"/>
    <x v="0"/>
  </r>
  <r>
    <s v="CHC"/>
    <x v="27"/>
    <x v="7"/>
    <x v="2"/>
    <x v="395"/>
    <n v="177805468"/>
    <n v="10207418"/>
    <n v="36617219"/>
    <n v="7604537"/>
    <n v="83"/>
    <n v="79"/>
    <x v="0"/>
    <n v="162"/>
    <x v="12"/>
    <n v="2765879.2168674697"/>
    <n v="232234642"/>
    <n v="-2666667"/>
    <n v="0.7745220908970426"/>
    <n v="4.4463597328852161E-2"/>
    <n v="0.15950490916688184"/>
    <n v="3.3125426140122552E-2"/>
    <x v="0"/>
  </r>
  <r>
    <s v="NYY"/>
    <x v="28"/>
    <x v="1"/>
    <x v="45"/>
    <x v="396"/>
    <n v="221782587"/>
    <n v="0"/>
    <n v="10760350"/>
    <n v="1975189"/>
    <n v="85"/>
    <n v="77"/>
    <x v="0"/>
    <n v="162"/>
    <x v="57"/>
    <n v="2759036.7764705881"/>
    <n v="234518126"/>
    <n v="0"/>
    <n v="0.94569486283546378"/>
    <n v="0"/>
    <n v="4.5882807369866156E-2"/>
    <n v="8.4223297946701137E-3"/>
    <x v="0"/>
  </r>
  <r>
    <s v="ATL"/>
    <x v="17"/>
    <x v="7"/>
    <x v="46"/>
    <x v="397"/>
    <n v="156338167"/>
    <n v="47028814"/>
    <n v="29249155"/>
    <n v="8417765"/>
    <n v="89"/>
    <n v="73"/>
    <x v="2"/>
    <n v="162"/>
    <x v="67"/>
    <n v="2656560.6853932585"/>
    <n v="241033901"/>
    <n v="-4600000"/>
    <n v="0.66123413917702101"/>
    <n v="0.19890892888494868"/>
    <n v="0.12370964940429588"/>
    <n v="3.5603037315702031E-2"/>
    <x v="1"/>
  </r>
  <r>
    <s v="LAD"/>
    <x v="29"/>
    <x v="1"/>
    <x v="21"/>
    <x v="398"/>
    <n v="207849759"/>
    <n v="0"/>
    <n v="22547116"/>
    <n v="6297500"/>
    <n v="92"/>
    <n v="70"/>
    <x v="1"/>
    <n v="162"/>
    <x v="35"/>
    <n v="2572764.9456521738"/>
    <n v="236694375"/>
    <n v="0"/>
    <n v="0.87813560841908478"/>
    <n v="0"/>
    <n v="9.5258351619044598E-2"/>
    <n v="2.6606039961870661E-2"/>
    <x v="1"/>
  </r>
  <r>
    <s v="HOU"/>
    <x v="3"/>
    <x v="9"/>
    <x v="40"/>
    <x v="399"/>
    <n v="211270410"/>
    <n v="16713200"/>
    <n v="2830000"/>
    <n v="2694138"/>
    <n v="90"/>
    <n v="72"/>
    <x v="1"/>
    <n v="162"/>
    <x v="36"/>
    <n v="2634530.5333333332"/>
    <n v="233507748"/>
    <n v="3600000"/>
    <n v="0.89103123698851039"/>
    <n v="7.0487785156645319E-2"/>
    <n v="1.1935501998019904E-2"/>
    <n v="1.1362505117293763E-2"/>
    <x v="1"/>
  </r>
  <r>
    <s v="LAD"/>
    <x v="29"/>
    <x v="7"/>
    <x v="44"/>
    <x v="400"/>
    <n v="169526771"/>
    <n v="37949016"/>
    <n v="27706461"/>
    <n v="1846901"/>
    <n v="98"/>
    <n v="64"/>
    <x v="1"/>
    <n v="162"/>
    <x v="69"/>
    <n v="2451429.7653061226"/>
    <n v="237029149"/>
    <n v="3210968"/>
    <n v="0.70565554627997451"/>
    <n v="0.1579628601329727"/>
    <n v="0.11532820307442658"/>
    <n v="7.687729356209063E-3"/>
    <x v="1"/>
  </r>
  <r>
    <s v="LAD"/>
    <x v="29"/>
    <x v="9"/>
    <x v="35"/>
    <x v="401"/>
    <n v="149705968"/>
    <n v="33764202"/>
    <n v="34802727"/>
    <n v="1290369"/>
    <n v="100"/>
    <n v="62"/>
    <x v="1"/>
    <n v="162"/>
    <x v="38"/>
    <n v="2402782.96"/>
    <n v="219563266"/>
    <n v="20715030"/>
    <n v="0.62305239587682115"/>
    <n v="0.14052123126426699"/>
    <n v="0.14484340691345671"/>
    <n v="5.3703102672244688E-3"/>
    <x v="1"/>
  </r>
  <r>
    <s v="LAD"/>
    <x v="29"/>
    <x v="5"/>
    <x v="33"/>
    <x v="402"/>
    <n v="235557818"/>
    <n v="0"/>
    <n v="3000000"/>
    <n v="3000000"/>
    <n v="94"/>
    <n v="68"/>
    <x v="1"/>
    <n v="162"/>
    <x v="26"/>
    <n v="2569764.0212765955"/>
    <n v="241557818"/>
    <n v="0"/>
    <n v="0.97516122620382339"/>
    <n v="0"/>
    <n v="1.2419386898088308E-2"/>
    <n v="1.2419386898088308E-2"/>
    <x v="1"/>
  </r>
  <r>
    <s v="PHI"/>
    <x v="23"/>
    <x v="3"/>
    <x v="32"/>
    <x v="403"/>
    <n v="158569333"/>
    <n v="11897332"/>
    <n v="30945214"/>
    <n v="9883756"/>
    <n v="87"/>
    <n v="75"/>
    <x v="2"/>
    <n v="162"/>
    <x v="80"/>
    <n v="2810162.0344827585"/>
    <n v="211295635"/>
    <n v="33188462"/>
    <n v="0.6485875152852989"/>
    <n v="4.8663009766234409E-2"/>
    <n v="0.12657352514834533"/>
    <n v="4.0426989408640347E-2"/>
    <x v="1"/>
  </r>
  <r>
    <s v="PHI"/>
    <x v="23"/>
    <x v="9"/>
    <x v="17"/>
    <x v="404"/>
    <n v="218609553"/>
    <n v="12530327"/>
    <n v="3345770"/>
    <n v="10933645"/>
    <n v="90"/>
    <n v="72"/>
    <x v="2"/>
    <n v="162"/>
    <x v="36"/>
    <n v="2726881.0555555555"/>
    <n v="245419295"/>
    <n v="0"/>
    <n v="0.89075943682423175"/>
    <n v="5.1056812790534666E-2"/>
    <n v="1.3632872672052945E-2"/>
    <n v="4.4550877713180621E-2"/>
    <x v="1"/>
  </r>
  <r>
    <s v="PHI"/>
    <x v="23"/>
    <x v="7"/>
    <x v="30"/>
    <x v="405"/>
    <n v="226211338"/>
    <n v="3031516"/>
    <n v="15356883"/>
    <n v="1699868"/>
    <n v="95"/>
    <n v="67"/>
    <x v="1"/>
    <n v="162"/>
    <x v="70"/>
    <n v="2592627.4210526315"/>
    <n v="246299605"/>
    <n v="0"/>
    <n v="0.9184397108554031"/>
    <n v="1.230824548013384E-2"/>
    <n v="6.23504166805302E-2"/>
    <n v="6.9016269839328407E-3"/>
    <x v="1"/>
  </r>
  <r>
    <s v="TEX"/>
    <x v="15"/>
    <x v="9"/>
    <x v="43"/>
    <x v="406"/>
    <n v="148828188"/>
    <n v="96208979"/>
    <n v="4993881"/>
    <n v="1301706"/>
    <n v="90"/>
    <n v="72"/>
    <x v="0"/>
    <n v="162"/>
    <x v="36"/>
    <n v="2792586.1555555556"/>
    <n v="251332754"/>
    <n v="0"/>
    <n v="0.59215595910750252"/>
    <n v="0.38279522851207848"/>
    <n v="1.9869598850613797E-2"/>
    <n v="5.1792135298051921E-3"/>
    <x v="0"/>
  </r>
  <r>
    <s v="NYY"/>
    <x v="28"/>
    <x v="3"/>
    <x v="40"/>
    <x v="407"/>
    <n v="214676803"/>
    <n v="25203665"/>
    <n v="12115094"/>
    <n v="961638"/>
    <n v="99"/>
    <n v="63"/>
    <x v="1"/>
    <n v="162"/>
    <x v="47"/>
    <n v="2555123.2323232321"/>
    <n v="252957200"/>
    <n v="0"/>
    <n v="0.84866848225707747"/>
    <n v="9.9636084681519244E-2"/>
    <n v="4.7893849236155368E-2"/>
    <n v="3.8015838252479076E-3"/>
    <x v="1"/>
  </r>
  <r>
    <s v="SD"/>
    <x v="10"/>
    <x v="9"/>
    <x v="43"/>
    <x v="408"/>
    <n v="163098555"/>
    <n v="71689912"/>
    <n v="16420993"/>
    <n v="716071"/>
    <n v="82"/>
    <n v="80"/>
    <x v="0"/>
    <n v="162"/>
    <x v="65"/>
    <n v="3090860.1341463416"/>
    <n v="251925531"/>
    <n v="1525000"/>
    <n v="0.64351238230390606"/>
    <n v="0.28285563939102576"/>
    <n v="6.4789736029395029E-2"/>
    <n v="2.8252890107379573E-3"/>
    <x v="0"/>
  </r>
  <r>
    <s v="HOU"/>
    <x v="3"/>
    <x v="7"/>
    <x v="43"/>
    <x v="409"/>
    <n v="174853862"/>
    <n v="45109866"/>
    <n v="21665317"/>
    <n v="13642326"/>
    <n v="88"/>
    <n v="73"/>
    <x v="1"/>
    <n v="161"/>
    <x v="88"/>
    <n v="2900811.0340909092"/>
    <n v="255271371"/>
    <n v="0"/>
    <n v="0.68497247190324373"/>
    <n v="0.17671337691840108"/>
    <n v="8.487170698041184E-2"/>
    <n v="5.3442444197943376E-2"/>
    <x v="1"/>
  </r>
  <r>
    <s v="LAD"/>
    <x v="29"/>
    <x v="11"/>
    <x v="17"/>
    <x v="410"/>
    <n v="182501228"/>
    <n v="22654516"/>
    <n v="41492656"/>
    <n v="10735130"/>
    <n v="104"/>
    <n v="58"/>
    <x v="1"/>
    <n v="162"/>
    <x v="95"/>
    <n v="2493378.778846154"/>
    <n v="257383530"/>
    <n v="1927863"/>
    <n v="0.70379178442036294"/>
    <n v="8.7364136754299881E-2"/>
    <n v="0.16001092555158192"/>
    <n v="4.1398605266834532E-2"/>
    <x v="1"/>
  </r>
  <r>
    <s v="NYM"/>
    <x v="25"/>
    <x v="3"/>
    <x v="47"/>
    <x v="411"/>
    <n v="222412889"/>
    <n v="4155954"/>
    <n v="28130999"/>
    <n v="992664"/>
    <n v="101"/>
    <n v="61"/>
    <x v="2"/>
    <n v="162"/>
    <x v="37"/>
    <n v="2617252.5346534653"/>
    <n v="255692506"/>
    <n v="8650000"/>
    <n v="0.8413814802830083"/>
    <n v="1.5721852920619585E-2"/>
    <n v="0.10641874977155584"/>
    <n v="3.7552189960701971E-3"/>
    <x v="1"/>
  </r>
  <r>
    <s v="LAD"/>
    <x v="29"/>
    <x v="8"/>
    <x v="24"/>
    <x v="412"/>
    <n v="193881011"/>
    <n v="13288890"/>
    <n v="52652847"/>
    <n v="4647746"/>
    <n v="91"/>
    <n v="71"/>
    <x v="1"/>
    <n v="162"/>
    <x v="13"/>
    <n v="2906269.1648351648"/>
    <n v="264470494"/>
    <n v="0"/>
    <n v="0.73309127255609841"/>
    <n v="5.02471553594179E-2"/>
    <n v="0.19908779313581954"/>
    <n v="1.7573778948664118E-2"/>
    <x v="1"/>
  </r>
  <r>
    <s v="LAD"/>
    <x v="29"/>
    <x v="2"/>
    <x v="33"/>
    <x v="413"/>
    <n v="174661542"/>
    <n v="37823684"/>
    <n v="6150521"/>
    <n v="15374310"/>
    <n v="106"/>
    <n v="56"/>
    <x v="2"/>
    <n v="162"/>
    <x v="91"/>
    <n v="2503239.5283018867"/>
    <n v="234010057"/>
    <n v="31333333"/>
    <n v="0.65824719432430556"/>
    <n v="0.1425461700779507"/>
    <n v="2.3179476978868779E-2"/>
    <n v="5.7941183309672795E-2"/>
    <x v="1"/>
  </r>
  <r>
    <s v="LAD"/>
    <x v="29"/>
    <x v="3"/>
    <x v="19"/>
    <x v="414"/>
    <n v="231003922"/>
    <n v="28920266"/>
    <n v="5332866"/>
    <n v="1256241"/>
    <n v="111"/>
    <n v="51"/>
    <x v="1"/>
    <n v="162"/>
    <x v="96"/>
    <n v="2435868.7027027025"/>
    <n v="266513295"/>
    <n v="3868131"/>
    <n v="0.85436313217757787"/>
    <n v="0.10696099368896737"/>
    <n v="1.9723492396996233E-2"/>
    <n v="4.6461808364010922E-3"/>
    <x v="1"/>
  </r>
  <r>
    <s v="NYY"/>
    <x v="28"/>
    <x v="9"/>
    <x v="24"/>
    <x v="415"/>
    <n v="187316625"/>
    <n v="50681231"/>
    <n v="35880817"/>
    <n v="1452477"/>
    <n v="82"/>
    <n v="80"/>
    <x v="0"/>
    <n v="162"/>
    <x v="65"/>
    <n v="3398184.7560975607"/>
    <n v="275331150"/>
    <n v="3320000"/>
    <n v="0.6722262764750836"/>
    <n v="0.18188057361327956"/>
    <n v="0.12876608260902567"/>
    <n v="5.2125282813295405E-3"/>
    <x v="0"/>
  </r>
  <r>
    <s v="LAD"/>
    <x v="29"/>
    <x v="13"/>
    <x v="17"/>
    <x v="416"/>
    <n v="202137688"/>
    <n v="20914084"/>
    <n v="68164195"/>
    <n v="10519113"/>
    <n v="92"/>
    <n v="70"/>
    <x v="1"/>
    <n v="162"/>
    <x v="35"/>
    <n v="3279729.1304347827"/>
    <n v="301735080"/>
    <n v="0"/>
    <n v="0.66991775699398293"/>
    <n v="6.9312736192291599E-2"/>
    <n v="0.2259074251492402"/>
    <n v="3.4862081664485282E-2"/>
    <x v="1"/>
  </r>
  <r>
    <s v="NYY"/>
    <x v="28"/>
    <x v="7"/>
    <x v="21"/>
    <x v="417"/>
    <n v="260231924"/>
    <n v="25630756"/>
    <n v="19146394"/>
    <n v="3565533"/>
    <n v="94"/>
    <n v="68"/>
    <x v="1"/>
    <n v="162"/>
    <x v="26"/>
    <n v="3282708.5851063831"/>
    <n v="308574607"/>
    <n v="0"/>
    <n v="0.84333551140194762"/>
    <n v="8.3061779610400677E-2"/>
    <n v="6.2047859952390705E-2"/>
    <n v="1.1554849035261026E-2"/>
    <x v="1"/>
  </r>
  <r>
    <s v="NYM"/>
    <x v="25"/>
    <x v="7"/>
    <x v="44"/>
    <x v="418"/>
    <n v="186528021"/>
    <n v="37578740"/>
    <n v="87720420"/>
    <n v="3931503"/>
    <n v="89"/>
    <n v="73"/>
    <x v="2"/>
    <n v="162"/>
    <x v="67"/>
    <n v="3536504.4831460672"/>
    <n v="315758684"/>
    <n v="-1009785"/>
    <n v="0.59262485617145877"/>
    <n v="0.11939276076705196"/>
    <n v="0.27869968815998941"/>
    <n v="1.2490918991268656E-2"/>
    <x v="1"/>
  </r>
  <r>
    <s v="NYM"/>
    <x v="25"/>
    <x v="9"/>
    <x v="17"/>
    <x v="419"/>
    <n v="104157606"/>
    <n v="76849257"/>
    <n v="158207683"/>
    <n v="2459231"/>
    <n v="75"/>
    <n v="87"/>
    <x v="0"/>
    <n v="162"/>
    <x v="43"/>
    <n v="4555650.3600000003"/>
    <n v="341673777"/>
    <n v="0"/>
    <n v="0.30484518570472557"/>
    <n v="0.22491997388491419"/>
    <n v="0.46303724092937926"/>
    <n v="7.1975994809809476E-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31E8D-CB81-41D6-B9BA-57081D03D452}" name="Tabela Dinâmica1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56:E60" firstHeaderRow="0" firstDataRow="1" firstDataCol="1"/>
  <pivotFields count="22">
    <pivotField showAll="0"/>
    <pivotField showAll="0"/>
    <pivotField showAll="0">
      <items count="15">
        <item x="4"/>
        <item x="6"/>
        <item x="1"/>
        <item x="5"/>
        <item x="13"/>
        <item x="8"/>
        <item x="11"/>
        <item x="12"/>
        <item x="10"/>
        <item x="0"/>
        <item x="2"/>
        <item x="3"/>
        <item x="9"/>
        <item x="7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numFmtId="9" showAll="0"/>
    <pivotField showAll="0"/>
    <pivotField numFmtId="164" showAll="0"/>
    <pivotField numFmtId="164" showAll="0"/>
    <pivotField dataField="1" numFmtId="9" showAll="0"/>
    <pivotField dataField="1" numFmtId="9" showAll="0"/>
    <pivotField dataField="1" numFmtId="9" showAll="0"/>
    <pivotField dataField="1" numFmtId="9" showAll="0"/>
    <pivotField showAll="0">
      <items count="3">
        <item x="0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de % Active" fld="17" subtotal="average" baseField="21" baseItem="1" numFmtId="9"/>
    <dataField name="Average % Injured" fld="18" subtotal="average" baseField="21" baseItem="1" numFmtId="9"/>
    <dataField name="Average % Retained" fld="19" subtotal="average" baseField="21" baseItem="1" numFmtId="9"/>
    <dataField name="Average de % Buried" fld="20" subtotal="average" baseField="21" baseItem="1" numFmtId="9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1182A-7D3F-40D6-AEEF-1FCF348E4902}" name="Tabela Dinâmica1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22:B53" firstHeaderRow="1" firstDataRow="1" firstDataCol="1" rowPageCount="1" colPageCount="1"/>
  <pivotFields count="22">
    <pivotField showAll="0"/>
    <pivotField axis="axisRow" showAll="0" sortType="descending">
      <items count="31">
        <item x="18"/>
        <item x="17"/>
        <item x="0"/>
        <item x="26"/>
        <item x="27"/>
        <item x="12"/>
        <item x="14"/>
        <item x="7"/>
        <item x="20"/>
        <item x="9"/>
        <item x="3"/>
        <item x="5"/>
        <item x="19"/>
        <item x="29"/>
        <item x="4"/>
        <item x="8"/>
        <item x="16"/>
        <item x="25"/>
        <item x="28"/>
        <item x="6"/>
        <item x="23"/>
        <item x="1"/>
        <item x="10"/>
        <item x="22"/>
        <item x="11"/>
        <item x="21"/>
        <item x="2"/>
        <item x="15"/>
        <item x="13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5">
        <item x="4"/>
        <item x="6"/>
        <item x="1"/>
        <item x="5"/>
        <item x="13"/>
        <item x="8"/>
        <item x="11"/>
        <item x="12"/>
        <item x="10"/>
        <item x="0"/>
        <item x="2"/>
        <item x="3"/>
        <item x="9"/>
        <item x="7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numFmtId="9" showAll="0"/>
    <pivotField dataField="1" showAll="0"/>
    <pivotField numFmtId="164" showAll="0"/>
    <pivotField numFmtId="164" showAll="0"/>
    <pivotField numFmtId="9" showAll="0"/>
    <pivotField numFmtId="9" showAll="0"/>
    <pivotField numFmtId="9" showAll="0"/>
    <pivotField numFmtId="9" showAll="0"/>
    <pivotField showAll="0"/>
  </pivotFields>
  <rowFields count="1">
    <field x="1"/>
  </rowFields>
  <rowItems count="31">
    <i>
      <x v="18"/>
    </i>
    <i>
      <x v="13"/>
    </i>
    <i>
      <x v="3"/>
    </i>
    <i>
      <x v="17"/>
    </i>
    <i>
      <x v="12"/>
    </i>
    <i>
      <x v="20"/>
    </i>
    <i>
      <x v="23"/>
    </i>
    <i>
      <x v="4"/>
    </i>
    <i>
      <x v="27"/>
    </i>
    <i>
      <x v="9"/>
    </i>
    <i>
      <x v="28"/>
    </i>
    <i>
      <x v="8"/>
    </i>
    <i>
      <x v="29"/>
    </i>
    <i>
      <x v="5"/>
    </i>
    <i>
      <x v="25"/>
    </i>
    <i>
      <x v="10"/>
    </i>
    <i>
      <x v="22"/>
    </i>
    <i>
      <x v="1"/>
    </i>
    <i>
      <x v="24"/>
    </i>
    <i>
      <x v="16"/>
    </i>
    <i>
      <x/>
    </i>
    <i>
      <x v="6"/>
    </i>
    <i>
      <x v="11"/>
    </i>
    <i>
      <x v="2"/>
    </i>
    <i>
      <x v="15"/>
    </i>
    <i>
      <x v="14"/>
    </i>
    <i>
      <x v="7"/>
    </i>
    <i>
      <x v="21"/>
    </i>
    <i>
      <x v="19"/>
    </i>
    <i>
      <x v="26"/>
    </i>
    <i t="grand">
      <x/>
    </i>
  </rowItems>
  <colItems count="1">
    <i/>
  </colItems>
  <pageFields count="1">
    <pageField fld="2" hier="-1"/>
  </pageFields>
  <dataFields count="1">
    <dataField name="Média de Cost per Win" fld="14" subtotal="average" baseField="1" baseItem="0"/>
  </dataFields>
  <formats count="1">
    <format dxfId="0">
      <pivotArea collapsedLevelsAreSubtotals="1" fieldPosition="0">
        <references count="1">
          <reference field="1" count="0"/>
        </references>
      </pivotArea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3242F-47AD-4567-A334-B0B1711644B9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:B18" firstHeaderRow="1" firstDataRow="1" firstDataCol="1"/>
  <pivotFields count="22">
    <pivotField showAll="0"/>
    <pivotField showAll="0"/>
    <pivotField axis="axisRow" showAll="0">
      <items count="15">
        <item x="4"/>
        <item x="6"/>
        <item x="1"/>
        <item x="5"/>
        <item x="13"/>
        <item x="8"/>
        <item x="11"/>
        <item x="12"/>
        <item x="10"/>
        <item x="0"/>
        <item x="2"/>
        <item x="3"/>
        <item x="9"/>
        <item x="7"/>
        <item t="default"/>
      </items>
    </pivotField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numFmtId="9" showAll="0"/>
    <pivotField showAll="0"/>
    <pivotField numFmtId="164" showAll="0"/>
    <pivotField numFmtId="164" showAll="0"/>
    <pivotField numFmtId="9" showAll="0"/>
    <pivotField numFmtId="9" showAll="0"/>
    <pivotField numFmtId="9" showAll="0"/>
    <pivotField numFmtId="9"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Média de Total Payroll Allocations" fld="4" subtotal="average" baseField="0" baseItem="0" numFmtId="164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2114BB5-DBEC-446D-862B-EBDA4EBE6427}" autoFormatId="16" applyNumberFormats="0" applyBorderFormats="0" applyFontFormats="0" applyPatternFormats="0" applyAlignmentFormats="0" applyWidthHeightFormats="0">
  <queryTableRefresh nextId="23" unboundColumnsRight="10">
    <queryTableFields count="22">
      <queryTableField id="1" name="Team" tableColumnId="1"/>
      <queryTableField id="2" name="Team Name" tableColumnId="2"/>
      <queryTableField id="3" name="Year" tableColumnId="3"/>
      <queryTableField id="4" name="Average Age" tableColumnId="4"/>
      <queryTableField id="5" name="Total Payroll Allocations" tableColumnId="5"/>
      <queryTableField id="6" name="Active 26-Man" tableColumnId="6"/>
      <queryTableField id="7" name="Injured" tableColumnId="7"/>
      <queryTableField id="8" name="Retained" tableColumnId="8"/>
      <queryTableField id="9" name="Buried" tableColumnId="9"/>
      <queryTableField id="10" name="Wins" tableColumnId="10"/>
      <queryTableField id="11" name="Losses" tableColumnId="11"/>
      <queryTableField id="12" name="Postseason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09C771-892B-453D-85C9-07023D3C2D93}" name="mlb_payrolls" displayName="mlb_payrolls" ref="A1:V421" tableType="queryTable" totalsRowShown="0">
  <autoFilter ref="A1:V421" xr:uid="{5209C771-892B-453D-85C9-07023D3C2D93}"/>
  <tableColumns count="22">
    <tableColumn id="1" xr3:uid="{B16C55EE-FC20-4D5B-B4DF-C58B6B9E68F7}" uniqueName="1" name="Team" queryTableFieldId="1" dataDxfId="18"/>
    <tableColumn id="2" xr3:uid="{F11039A3-380B-4CBF-8E23-47011985AAA6}" uniqueName="2" name="Team Name" queryTableFieldId="2" dataDxfId="17"/>
    <tableColumn id="3" xr3:uid="{CE69E7C9-0FE3-4E5B-BF66-EF357B5D20ED}" uniqueName="3" name="Year" queryTableFieldId="3"/>
    <tableColumn id="4" xr3:uid="{026E9B91-E290-4457-A718-E7C052F178E6}" uniqueName="4" name="Average Age" queryTableFieldId="4"/>
    <tableColumn id="5" xr3:uid="{CE95FCA2-A220-4B20-BFA4-D1BA672A5DB9}" uniqueName="5" name="Total Payroll Allocations" queryTableFieldId="5" dataDxfId="16"/>
    <tableColumn id="6" xr3:uid="{E81E028D-5A8B-4E67-AEF5-D50ABAE3DE02}" uniqueName="6" name="Active 26-Man" queryTableFieldId="6" dataDxfId="15"/>
    <tableColumn id="7" xr3:uid="{DF3634ED-D6FA-4389-AF1F-1C69C9D6FF53}" uniqueName="7" name="Injured" queryTableFieldId="7" dataDxfId="14"/>
    <tableColumn id="8" xr3:uid="{168D2164-F4C6-4E73-8DB4-36F9C781513C}" uniqueName="8" name="Retained" queryTableFieldId="8" dataDxfId="13"/>
    <tableColumn id="9" xr3:uid="{09F4FAB5-368B-425F-89B7-7E8F3257D9D7}" uniqueName="9" name="Buried" queryTableFieldId="9" dataDxfId="12"/>
    <tableColumn id="10" xr3:uid="{36FC6D9B-37E0-44FE-BB04-2201095F0F80}" uniqueName="10" name="Wins" queryTableFieldId="10"/>
    <tableColumn id="11" xr3:uid="{6FB71355-B29F-45E2-ADC5-20C1D1EF4465}" uniqueName="11" name="Losses" queryTableFieldId="11"/>
    <tableColumn id="12" xr3:uid="{04B108E7-566F-434C-8FA9-68C28588ADDB}" uniqueName="12" name="Postseason" queryTableFieldId="12" dataDxfId="11"/>
    <tableColumn id="13" xr3:uid="{C9C08FED-4EA5-402E-B189-6FF9BEFE5118}" uniqueName="13" name="Games" queryTableFieldId="13" dataDxfId="10">
      <calculatedColumnFormula>mlb_payrolls[[#This Row],[Wins]] + mlb_payrolls[[#This Row],[Losses]]</calculatedColumnFormula>
    </tableColumn>
    <tableColumn id="14" xr3:uid="{AD93E1DD-C03E-42A7-BEE6-42300F48AA6E}" uniqueName="14" name="Win %" queryTableFieldId="14" dataDxfId="9" dataCellStyle="Percentagem">
      <calculatedColumnFormula>IF(mlb_payrolls[[#This Row],[Games]] &gt;0, mlb_payrolls[[#This Row],[Wins]]/mlb_payrolls[[#This Row],[Games]], "")</calculatedColumnFormula>
    </tableColumn>
    <tableColumn id="15" xr3:uid="{566B2FF8-E3A3-479E-9FD0-1B51B76429D1}" uniqueName="15" name="Cost per Win" queryTableFieldId="15" dataDxfId="8">
      <calculatedColumnFormula>IFERROR(VALUE(mlb_payrolls[[#This Row],[Total Payroll Allocations]])/VALUE(mlb_payrolls[[#This Row],[Wins]]),"")</calculatedColumnFormula>
    </tableColumn>
    <tableColumn id="16" xr3:uid="{7D2A89C2-34F2-46F1-8E6E-08F5ABBBC103}" uniqueName="16" name="Payroll Parts Sum" queryTableFieldId="16" dataDxfId="7">
      <calculatedColumnFormula>SUM(mlb_payrolls[[#This Row],[Active 26-Man]],mlb_payrolls[[#This Row],[Injured]],mlb_payrolls[[#This Row],[Retained]],mlb_payrolls[[#This Row],[Buried]])</calculatedColumnFormula>
    </tableColumn>
    <tableColumn id="17" xr3:uid="{A82BCF59-41FD-4D08-A497-B6B5CBCE53F2}" uniqueName="17" name="Payroll Diff" queryTableFieldId="17" dataDxfId="6">
      <calculatedColumnFormula>mlb_payrolls[[#This Row],[Total Payroll Allocations]]-mlb_payrolls[[#This Row],[Payroll Parts Sum]]</calculatedColumnFormula>
    </tableColumn>
    <tableColumn id="18" xr3:uid="{5ADCF85F-557E-4076-A580-B8C214956CF2}" uniqueName="18" name="% Active" queryTableFieldId="18" dataDxfId="5" dataCellStyle="Percentagem">
      <calculatedColumnFormula>IF(mlb_payrolls[[#This Row],[Total Payroll Allocations]]&gt;0, mlb_payrolls[[#This Row],[Active 26-Man]]/mlb_payrolls[[#This Row],[Total Payroll Allocations]],"")</calculatedColumnFormula>
    </tableColumn>
    <tableColumn id="19" xr3:uid="{46B7B1BE-674D-4446-A016-449799A40195}" uniqueName="19" name="% Injured" queryTableFieldId="19" dataDxfId="4" dataCellStyle="Percentagem">
      <calculatedColumnFormula>IF(mlb_payrolls[[#This Row],[Total Payroll Allocations]]&gt;0,mlb_payrolls[[#This Row],[Injured]]/mlb_payrolls[[#This Row],[Total Payroll Allocations]])</calculatedColumnFormula>
    </tableColumn>
    <tableColumn id="20" xr3:uid="{B6D7526E-6871-40C4-8B7A-31E5553CDC7B}" uniqueName="20" name="% Retained" queryTableFieldId="20" dataDxfId="3">
      <calculatedColumnFormula>IF(mlb_payrolls[[#This Row],[Total Payroll Allocations]]&gt;0,mlb_payrolls[[#This Row],[Retained]]/mlb_payrolls[[#This Row],[Total Payroll Allocations]])</calculatedColumnFormula>
    </tableColumn>
    <tableColumn id="21" xr3:uid="{E20E7CC9-3DBE-413A-9071-6CA9B4441CC0}" uniqueName="21" name="% Buried" queryTableFieldId="21" dataDxfId="2">
      <calculatedColumnFormula>IF(mlb_payrolls[[#This Row],[Total Payroll Allocations]]&gt;0,mlb_payrolls[[#This Row],[Buried]]/mlb_payrolls[[#This Row],[Total Payroll Allocations]])</calculatedColumnFormula>
    </tableColumn>
    <tableColumn id="22" xr3:uid="{7A1B5B45-0851-43BF-BF35-F1D2289F343C}" uniqueName="22" name="Playoff Flag" queryTableFieldId="22" dataDxfId="1">
      <calculatedColumnFormula>IF(mlb_payrolls[[#This Row],[Postseason]]="No Playoffs",0,1)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AB9A-E2AE-4A72-9325-052E1631CA59}">
  <dimension ref="A1:V421"/>
  <sheetViews>
    <sheetView tabSelected="1" workbookViewId="0">
      <selection activeCell="J4" sqref="J4"/>
    </sheetView>
  </sheetViews>
  <sheetFormatPr defaultRowHeight="14.4" x14ac:dyDescent="0.3"/>
  <cols>
    <col min="1" max="1" width="7.88671875" bestFit="1" customWidth="1"/>
    <col min="2" max="2" width="19.6640625" bestFit="1" customWidth="1"/>
    <col min="3" max="3" width="6.88671875" bestFit="1" customWidth="1"/>
    <col min="4" max="4" width="13.77734375" bestFit="1" customWidth="1"/>
    <col min="5" max="5" width="23.6640625" bestFit="1" customWidth="1"/>
    <col min="6" max="8" width="15.5546875" bestFit="1" customWidth="1"/>
    <col min="9" max="9" width="14.5546875" bestFit="1" customWidth="1"/>
    <col min="10" max="10" width="7.33203125" bestFit="1" customWidth="1"/>
    <col min="11" max="11" width="8.5546875" bestFit="1" customWidth="1"/>
    <col min="12" max="12" width="13.77734375" bestFit="1" customWidth="1"/>
    <col min="14" max="14" width="8.44140625" bestFit="1" customWidth="1"/>
    <col min="15" max="15" width="13.88671875" bestFit="1" customWidth="1"/>
    <col min="16" max="16" width="18" bestFit="1" customWidth="1"/>
    <col min="17" max="17" width="14.5546875" bestFit="1" customWidth="1"/>
    <col min="18" max="18" width="10.33203125" bestFit="1" customWidth="1"/>
    <col min="19" max="19" width="11.21875" bestFit="1" customWidth="1"/>
    <col min="20" max="20" width="12.5546875" bestFit="1" customWidth="1"/>
    <col min="21" max="21" width="10.5546875" bestFit="1" customWidth="1"/>
    <col min="22" max="22" width="13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75</v>
      </c>
      <c r="N1" s="4" t="s">
        <v>76</v>
      </c>
      <c r="O1" s="4" t="s">
        <v>77</v>
      </c>
      <c r="P1" s="4" t="s">
        <v>78</v>
      </c>
      <c r="Q1" s="4" t="s">
        <v>79</v>
      </c>
      <c r="R1" s="4" t="s">
        <v>80</v>
      </c>
      <c r="S1" s="4" t="s">
        <v>81</v>
      </c>
      <c r="T1" s="4" t="s">
        <v>82</v>
      </c>
      <c r="U1" s="4" t="s">
        <v>83</v>
      </c>
      <c r="V1" s="4" t="s">
        <v>84</v>
      </c>
    </row>
    <row r="2" spans="1:22" x14ac:dyDescent="0.3">
      <c r="A2" t="s">
        <v>25</v>
      </c>
      <c r="B2" t="s">
        <v>26</v>
      </c>
      <c r="C2">
        <v>2020</v>
      </c>
      <c r="D2">
        <v>27</v>
      </c>
      <c r="E2" s="1">
        <v>23478635</v>
      </c>
      <c r="F2" s="1">
        <v>10252278</v>
      </c>
      <c r="G2" s="1">
        <v>11102531</v>
      </c>
      <c r="H2" s="1">
        <v>1264595</v>
      </c>
      <c r="I2" s="1">
        <v>562935</v>
      </c>
      <c r="J2">
        <v>25</v>
      </c>
      <c r="K2">
        <v>35</v>
      </c>
      <c r="L2" t="s">
        <v>14</v>
      </c>
      <c r="M2">
        <f>mlb_payrolls[[#This Row],[Wins]] + mlb_payrolls[[#This Row],[Losses]]</f>
        <v>60</v>
      </c>
      <c r="N2" s="2">
        <f>IF(mlb_payrolls[[#This Row],[Games]] &gt;0, mlb_payrolls[[#This Row],[Wins]]/mlb_payrolls[[#This Row],[Games]], "")</f>
        <v>0.41666666666666669</v>
      </c>
      <c r="O2" s="1">
        <f>IFERROR(VALUE(mlb_payrolls[[#This Row],[Total Payroll Allocations]])/VALUE(mlb_payrolls[[#This Row],[Wins]]),"")</f>
        <v>939145.4</v>
      </c>
      <c r="P2" s="1">
        <f>SUM(mlb_payrolls[[#This Row],[Active 26-Man]],mlb_payrolls[[#This Row],[Injured]],mlb_payrolls[[#This Row],[Retained]],mlb_payrolls[[#This Row],[Buried]])</f>
        <v>23182339</v>
      </c>
      <c r="Q2" s="1">
        <f>mlb_payrolls[[#This Row],[Total Payroll Allocations]]-mlb_payrolls[[#This Row],[Payroll Parts Sum]]</f>
        <v>296296</v>
      </c>
      <c r="R2" s="2">
        <f>IF(mlb_payrolls[[#This Row],[Total Payroll Allocations]]&gt;0, mlb_payrolls[[#This Row],[Active 26-Man]]/mlb_payrolls[[#This Row],[Total Payroll Allocations]],"")</f>
        <v>0.43666414167603868</v>
      </c>
      <c r="S2" s="2">
        <f>IF(mlb_payrolls[[#This Row],[Total Payroll Allocations]]&gt;0,mlb_payrolls[[#This Row],[Injured]]/mlb_payrolls[[#This Row],[Total Payroll Allocations]])</f>
        <v>0.47287804423042479</v>
      </c>
      <c r="T2" s="2">
        <f>IF(mlb_payrolls[[#This Row],[Total Payroll Allocations]]&gt;0,mlb_payrolls[[#This Row],[Retained]]/mlb_payrolls[[#This Row],[Total Payroll Allocations]])</f>
        <v>5.3861521336312779E-2</v>
      </c>
      <c r="U2" s="2">
        <f>IF(mlb_payrolls[[#This Row],[Total Payroll Allocations]]&gt;0,mlb_payrolls[[#This Row],[Buried]]/mlb_payrolls[[#This Row],[Total Payroll Allocations]])</f>
        <v>2.3976479041477497E-2</v>
      </c>
      <c r="V2">
        <f>IF(mlb_payrolls[[#This Row],[Postseason]]="No Playoffs",0,1)</f>
        <v>0</v>
      </c>
    </row>
    <row r="3" spans="1:22" x14ac:dyDescent="0.3">
      <c r="A3" t="s">
        <v>15</v>
      </c>
      <c r="B3" t="s">
        <v>16</v>
      </c>
      <c r="C3">
        <v>2020</v>
      </c>
      <c r="D3">
        <v>27.4</v>
      </c>
      <c r="E3" s="1">
        <v>25343022</v>
      </c>
      <c r="F3" s="1">
        <v>12738842</v>
      </c>
      <c r="G3" s="1">
        <v>8467312</v>
      </c>
      <c r="H3" s="1">
        <v>2437508</v>
      </c>
      <c r="I3" s="1">
        <v>199360</v>
      </c>
      <c r="J3">
        <v>19</v>
      </c>
      <c r="K3">
        <v>41</v>
      </c>
      <c r="L3" t="s">
        <v>14</v>
      </c>
      <c r="M3">
        <f>mlb_payrolls[[#This Row],[Wins]] + mlb_payrolls[[#This Row],[Losses]]</f>
        <v>60</v>
      </c>
      <c r="N3" s="2">
        <f>IF(mlb_payrolls[[#This Row],[Games]] &gt;0, mlb_payrolls[[#This Row],[Wins]]/mlb_payrolls[[#This Row],[Games]], "")</f>
        <v>0.31666666666666665</v>
      </c>
      <c r="O3" s="1">
        <f>IFERROR(VALUE(mlb_payrolls[[#This Row],[Total Payroll Allocations]])/VALUE(mlb_payrolls[[#This Row],[Wins]]),"")</f>
        <v>1333843.2631578948</v>
      </c>
      <c r="P3" s="1">
        <f>SUM(mlb_payrolls[[#This Row],[Active 26-Man]],mlb_payrolls[[#This Row],[Injured]],mlb_payrolls[[#This Row],[Retained]],mlb_payrolls[[#This Row],[Buried]])</f>
        <v>23843022</v>
      </c>
      <c r="Q3" s="1">
        <f>mlb_payrolls[[#This Row],[Total Payroll Allocations]]-mlb_payrolls[[#This Row],[Payroll Parts Sum]]</f>
        <v>1500000</v>
      </c>
      <c r="R3" s="2">
        <f>IF(mlb_payrolls[[#This Row],[Total Payroll Allocations]]&gt;0, mlb_payrolls[[#This Row],[Active 26-Man]]/mlb_payrolls[[#This Row],[Total Payroll Allocations]],"")</f>
        <v>0.50265678655055424</v>
      </c>
      <c r="S3" s="2">
        <f>IF(mlb_payrolls[[#This Row],[Total Payroll Allocations]]&gt;0,mlb_payrolls[[#This Row],[Injured]]/mlb_payrolls[[#This Row],[Total Payroll Allocations]])</f>
        <v>0.33410822119003802</v>
      </c>
      <c r="T3" s="3">
        <f>IF(mlb_payrolls[[#This Row],[Total Payroll Allocations]]&gt;0,mlb_payrolls[[#This Row],[Retained]]/mlb_payrolls[[#This Row],[Total Payroll Allocations]])</f>
        <v>9.6180637021109794E-2</v>
      </c>
      <c r="U3" s="3">
        <f>IF(mlb_payrolls[[#This Row],[Total Payroll Allocations]]&gt;0,mlb_payrolls[[#This Row],[Buried]]/mlb_payrolls[[#This Row],[Total Payroll Allocations]])</f>
        <v>7.8664651753054555E-3</v>
      </c>
      <c r="V3">
        <f>IF(mlb_payrolls[[#This Row],[Postseason]]="No Playoffs",0,1)</f>
        <v>0</v>
      </c>
    </row>
    <row r="4" spans="1:22" x14ac:dyDescent="0.3">
      <c r="A4" t="s">
        <v>17</v>
      </c>
      <c r="B4" t="s">
        <v>18</v>
      </c>
      <c r="C4">
        <v>2020</v>
      </c>
      <c r="D4">
        <v>27.9</v>
      </c>
      <c r="E4" s="1">
        <v>28290689</v>
      </c>
      <c r="F4" s="1">
        <v>21769463</v>
      </c>
      <c r="G4" s="1">
        <v>1958020</v>
      </c>
      <c r="H4" s="1">
        <v>2086951</v>
      </c>
      <c r="I4" s="1">
        <v>2476255</v>
      </c>
      <c r="J4">
        <v>40</v>
      </c>
      <c r="K4">
        <v>20</v>
      </c>
      <c r="L4" t="s">
        <v>24</v>
      </c>
      <c r="M4">
        <f>mlb_payrolls[[#This Row],[Wins]] + mlb_payrolls[[#This Row],[Losses]]</f>
        <v>60</v>
      </c>
      <c r="N4" s="2">
        <f>IF(mlb_payrolls[[#This Row],[Games]] &gt;0, mlb_payrolls[[#This Row],[Wins]]/mlb_payrolls[[#This Row],[Games]], "")</f>
        <v>0.66666666666666663</v>
      </c>
      <c r="O4" s="1">
        <f>IFERROR(VALUE(mlb_payrolls[[#This Row],[Total Payroll Allocations]])/VALUE(mlb_payrolls[[#This Row],[Wins]]),"")</f>
        <v>707267.22499999998</v>
      </c>
      <c r="P4" s="1">
        <f>SUM(mlb_payrolls[[#This Row],[Active 26-Man]],mlb_payrolls[[#This Row],[Injured]],mlb_payrolls[[#This Row],[Retained]],mlb_payrolls[[#This Row],[Buried]])</f>
        <v>28290689</v>
      </c>
      <c r="Q4" s="1">
        <f>mlb_payrolls[[#This Row],[Total Payroll Allocations]]-mlb_payrolls[[#This Row],[Payroll Parts Sum]]</f>
        <v>0</v>
      </c>
      <c r="R4" s="2">
        <f>IF(mlb_payrolls[[#This Row],[Total Payroll Allocations]]&gt;0, mlb_payrolls[[#This Row],[Active 26-Man]]/mlb_payrolls[[#This Row],[Total Payroll Allocations]],"")</f>
        <v>0.76949214633832352</v>
      </c>
      <c r="S4" s="2">
        <f>IF(mlb_payrolls[[#This Row],[Total Payroll Allocations]]&gt;0,mlb_payrolls[[#This Row],[Injured]]/mlb_payrolls[[#This Row],[Total Payroll Allocations]])</f>
        <v>6.921075693844006E-2</v>
      </c>
      <c r="T4" s="3">
        <f>IF(mlb_payrolls[[#This Row],[Total Payroll Allocations]]&gt;0,mlb_payrolls[[#This Row],[Retained]]/mlb_payrolls[[#This Row],[Total Payroll Allocations]])</f>
        <v>7.3768122084265961E-2</v>
      </c>
      <c r="U4" s="3">
        <f>IF(mlb_payrolls[[#This Row],[Total Payroll Allocations]]&gt;0,mlb_payrolls[[#This Row],[Buried]]/mlb_payrolls[[#This Row],[Total Payroll Allocations]])</f>
        <v>8.7528974638970442E-2</v>
      </c>
      <c r="V4">
        <f>IF(mlb_payrolls[[#This Row],[Postseason]]="No Playoffs",0,1)</f>
        <v>1</v>
      </c>
    </row>
    <row r="5" spans="1:22" x14ac:dyDescent="0.3">
      <c r="A5" t="s">
        <v>65</v>
      </c>
      <c r="B5" t="s">
        <v>66</v>
      </c>
      <c r="C5">
        <v>2013</v>
      </c>
      <c r="D5">
        <v>25.3</v>
      </c>
      <c r="E5" s="1">
        <v>28727913</v>
      </c>
      <c r="F5" s="1">
        <v>12078450</v>
      </c>
      <c r="G5" s="1">
        <v>0</v>
      </c>
      <c r="H5" s="1">
        <v>15562961</v>
      </c>
      <c r="I5" s="1">
        <v>1086502</v>
      </c>
      <c r="J5">
        <v>51</v>
      </c>
      <c r="K5">
        <v>111</v>
      </c>
      <c r="L5" t="s">
        <v>14</v>
      </c>
      <c r="M5">
        <f>mlb_payrolls[[#This Row],[Wins]] + mlb_payrolls[[#This Row],[Losses]]</f>
        <v>162</v>
      </c>
      <c r="N5" s="2">
        <f>IF(mlb_payrolls[[#This Row],[Games]] &gt;0, mlb_payrolls[[#This Row],[Wins]]/mlb_payrolls[[#This Row],[Games]], "")</f>
        <v>0.31481481481481483</v>
      </c>
      <c r="O5" s="1">
        <f>IFERROR(VALUE(mlb_payrolls[[#This Row],[Total Payroll Allocations]])/VALUE(mlb_payrolls[[#This Row],[Wins]]),"")</f>
        <v>563292.4117647059</v>
      </c>
      <c r="P5" s="1">
        <f>SUM(mlb_payrolls[[#This Row],[Active 26-Man]],mlb_payrolls[[#This Row],[Injured]],mlb_payrolls[[#This Row],[Retained]],mlb_payrolls[[#This Row],[Buried]])</f>
        <v>28727913</v>
      </c>
      <c r="Q5" s="1">
        <f>mlb_payrolls[[#This Row],[Total Payroll Allocations]]-mlb_payrolls[[#This Row],[Payroll Parts Sum]]</f>
        <v>0</v>
      </c>
      <c r="R5" s="2">
        <f>IF(mlb_payrolls[[#This Row],[Total Payroll Allocations]]&gt;0, mlb_payrolls[[#This Row],[Active 26-Man]]/mlb_payrolls[[#This Row],[Total Payroll Allocations]],"")</f>
        <v>0.42044300259472384</v>
      </c>
      <c r="S5" s="2">
        <f>IF(mlb_payrolls[[#This Row],[Total Payroll Allocations]]&gt;0,mlb_payrolls[[#This Row],[Injured]]/mlb_payrolls[[#This Row],[Total Payroll Allocations]])</f>
        <v>0</v>
      </c>
      <c r="T5" s="3">
        <f>IF(mlb_payrolls[[#This Row],[Total Payroll Allocations]]&gt;0,mlb_payrolls[[#This Row],[Retained]]/mlb_payrolls[[#This Row],[Total Payroll Allocations]])</f>
        <v>0.54173656819414628</v>
      </c>
      <c r="U5" s="3">
        <f>IF(mlb_payrolls[[#This Row],[Total Payroll Allocations]]&gt;0,mlb_payrolls[[#This Row],[Buried]]/mlb_payrolls[[#This Row],[Total Payroll Allocations]])</f>
        <v>3.7820429211129956E-2</v>
      </c>
      <c r="V5">
        <f>IF(mlb_payrolls[[#This Row],[Postseason]]="No Playoffs",0,1)</f>
        <v>0</v>
      </c>
    </row>
    <row r="6" spans="1:22" x14ac:dyDescent="0.3">
      <c r="A6" t="s">
        <v>35</v>
      </c>
      <c r="B6" t="s">
        <v>36</v>
      </c>
      <c r="C6">
        <v>2020</v>
      </c>
      <c r="D6">
        <v>28.2</v>
      </c>
      <c r="E6" s="1">
        <v>33901920</v>
      </c>
      <c r="F6" s="1">
        <v>17388599</v>
      </c>
      <c r="G6" s="1">
        <v>2897429</v>
      </c>
      <c r="H6" s="1">
        <v>12335262</v>
      </c>
      <c r="I6" s="1">
        <v>1280630</v>
      </c>
      <c r="J6">
        <v>31</v>
      </c>
      <c r="K6">
        <v>29</v>
      </c>
      <c r="L6" t="s">
        <v>21</v>
      </c>
      <c r="M6">
        <f>mlb_payrolls[[#This Row],[Wins]] + mlb_payrolls[[#This Row],[Losses]]</f>
        <v>60</v>
      </c>
      <c r="N6" s="2">
        <f>IF(mlb_payrolls[[#This Row],[Games]] &gt;0, mlb_payrolls[[#This Row],[Wins]]/mlb_payrolls[[#This Row],[Games]], "")</f>
        <v>0.51666666666666672</v>
      </c>
      <c r="O6" s="1">
        <f>IFERROR(VALUE(mlb_payrolls[[#This Row],[Total Payroll Allocations]])/VALUE(mlb_payrolls[[#This Row],[Wins]]),"")</f>
        <v>1093610.3225806451</v>
      </c>
      <c r="P6" s="1">
        <f>SUM(mlb_payrolls[[#This Row],[Active 26-Man]],mlb_payrolls[[#This Row],[Injured]],mlb_payrolls[[#This Row],[Retained]],mlb_payrolls[[#This Row],[Buried]])</f>
        <v>33901920</v>
      </c>
      <c r="Q6" s="1">
        <f>mlb_payrolls[[#This Row],[Total Payroll Allocations]]-mlb_payrolls[[#This Row],[Payroll Parts Sum]]</f>
        <v>0</v>
      </c>
      <c r="R6" s="2">
        <f>IF(mlb_payrolls[[#This Row],[Total Payroll Allocations]]&gt;0, mlb_payrolls[[#This Row],[Active 26-Man]]/mlb_payrolls[[#This Row],[Total Payroll Allocations]],"")</f>
        <v>0.51290897388702472</v>
      </c>
      <c r="S6" s="2">
        <f>IF(mlb_payrolls[[#This Row],[Total Payroll Allocations]]&gt;0,mlb_payrolls[[#This Row],[Injured]]/mlb_payrolls[[#This Row],[Total Payroll Allocations]])</f>
        <v>8.5465041507973585E-2</v>
      </c>
      <c r="T6" s="3">
        <f>IF(mlb_payrolls[[#This Row],[Total Payroll Allocations]]&gt;0,mlb_payrolls[[#This Row],[Retained]]/mlb_payrolls[[#This Row],[Total Payroll Allocations]])</f>
        <v>0.36385142788373048</v>
      </c>
      <c r="U6" s="3">
        <f>IF(mlb_payrolls[[#This Row],[Total Payroll Allocations]]&gt;0,mlb_payrolls[[#This Row],[Buried]]/mlb_payrolls[[#This Row],[Total Payroll Allocations]])</f>
        <v>3.7774556721271245E-2</v>
      </c>
      <c r="V6">
        <f>IF(mlb_payrolls[[#This Row],[Postseason]]="No Playoffs",0,1)</f>
        <v>1</v>
      </c>
    </row>
    <row r="7" spans="1:22" x14ac:dyDescent="0.3">
      <c r="A7" t="s">
        <v>31</v>
      </c>
      <c r="B7" t="s">
        <v>32</v>
      </c>
      <c r="C7">
        <v>2020</v>
      </c>
      <c r="D7">
        <v>26.9</v>
      </c>
      <c r="E7" s="1">
        <v>34934696</v>
      </c>
      <c r="F7" s="1">
        <v>25320148</v>
      </c>
      <c r="G7" s="1">
        <v>7094043</v>
      </c>
      <c r="H7" s="1">
        <v>1464114</v>
      </c>
      <c r="I7" s="1">
        <v>1056391</v>
      </c>
      <c r="J7">
        <v>26</v>
      </c>
      <c r="K7">
        <v>34</v>
      </c>
      <c r="L7" t="s">
        <v>14</v>
      </c>
      <c r="M7">
        <f>mlb_payrolls[[#This Row],[Wins]] + mlb_payrolls[[#This Row],[Losses]]</f>
        <v>60</v>
      </c>
      <c r="N7" s="2">
        <f>IF(mlb_payrolls[[#This Row],[Games]] &gt;0, mlb_payrolls[[#This Row],[Wins]]/mlb_payrolls[[#This Row],[Games]], "")</f>
        <v>0.43333333333333335</v>
      </c>
      <c r="O7" s="1">
        <f>IFERROR(VALUE(mlb_payrolls[[#This Row],[Total Payroll Allocations]])/VALUE(mlb_payrolls[[#This Row],[Wins]]),"")</f>
        <v>1343642.1538461538</v>
      </c>
      <c r="P7" s="1">
        <f>SUM(mlb_payrolls[[#This Row],[Active 26-Man]],mlb_payrolls[[#This Row],[Injured]],mlb_payrolls[[#This Row],[Retained]],mlb_payrolls[[#This Row],[Buried]])</f>
        <v>34934696</v>
      </c>
      <c r="Q7" s="1">
        <f>mlb_payrolls[[#This Row],[Total Payroll Allocations]]-mlb_payrolls[[#This Row],[Payroll Parts Sum]]</f>
        <v>0</v>
      </c>
      <c r="R7" s="2">
        <f>IF(mlb_payrolls[[#This Row],[Total Payroll Allocations]]&gt;0, mlb_payrolls[[#This Row],[Active 26-Man]]/mlb_payrolls[[#This Row],[Total Payroll Allocations]],"")</f>
        <v>0.72478512479398705</v>
      </c>
      <c r="S7" s="2">
        <f>IF(mlb_payrolls[[#This Row],[Total Payroll Allocations]]&gt;0,mlb_payrolls[[#This Row],[Injured]]/mlb_payrolls[[#This Row],[Total Payroll Allocations]])</f>
        <v>0.20306582888255276</v>
      </c>
      <c r="T7" s="3">
        <f>IF(mlb_payrolls[[#This Row],[Total Payroll Allocations]]&gt;0,mlb_payrolls[[#This Row],[Retained]]/mlb_payrolls[[#This Row],[Total Payroll Allocations]])</f>
        <v>4.1910025494425372E-2</v>
      </c>
      <c r="U7" s="3">
        <f>IF(mlb_payrolls[[#This Row],[Total Payroll Allocations]]&gt;0,mlb_payrolls[[#This Row],[Buried]]/mlb_payrolls[[#This Row],[Total Payroll Allocations]])</f>
        <v>3.0239020829034836E-2</v>
      </c>
      <c r="V7">
        <f>IF(mlb_payrolls[[#This Row],[Postseason]]="No Playoffs",0,1)</f>
        <v>0</v>
      </c>
    </row>
    <row r="8" spans="1:22" x14ac:dyDescent="0.3">
      <c r="A8" t="s">
        <v>35</v>
      </c>
      <c r="B8" t="s">
        <v>36</v>
      </c>
      <c r="C8">
        <v>2013</v>
      </c>
      <c r="D8">
        <v>26.3</v>
      </c>
      <c r="E8" s="1">
        <v>36209554</v>
      </c>
      <c r="F8" s="1">
        <v>27969339</v>
      </c>
      <c r="G8" s="1">
        <v>0</v>
      </c>
      <c r="H8" s="1">
        <v>6896666</v>
      </c>
      <c r="I8" s="1">
        <v>543549</v>
      </c>
      <c r="J8">
        <v>62</v>
      </c>
      <c r="K8">
        <v>100</v>
      </c>
      <c r="L8" t="s">
        <v>14</v>
      </c>
      <c r="M8">
        <f>mlb_payrolls[[#This Row],[Wins]] + mlb_payrolls[[#This Row],[Losses]]</f>
        <v>162</v>
      </c>
      <c r="N8" s="2">
        <f>IF(mlb_payrolls[[#This Row],[Games]] &gt;0, mlb_payrolls[[#This Row],[Wins]]/mlb_payrolls[[#This Row],[Games]], "")</f>
        <v>0.38271604938271603</v>
      </c>
      <c r="O8" s="1">
        <f>IFERROR(VALUE(mlb_payrolls[[#This Row],[Total Payroll Allocations]])/VALUE(mlb_payrolls[[#This Row],[Wins]]),"")</f>
        <v>584025.06451612909</v>
      </c>
      <c r="P8" s="1">
        <f>SUM(mlb_payrolls[[#This Row],[Active 26-Man]],mlb_payrolls[[#This Row],[Injured]],mlb_payrolls[[#This Row],[Retained]],mlb_payrolls[[#This Row],[Buried]])</f>
        <v>35409554</v>
      </c>
      <c r="Q8" s="1">
        <f>mlb_payrolls[[#This Row],[Total Payroll Allocations]]-mlb_payrolls[[#This Row],[Payroll Parts Sum]]</f>
        <v>800000</v>
      </c>
      <c r="R8" s="2">
        <f>IF(mlb_payrolls[[#This Row],[Total Payroll Allocations]]&gt;0, mlb_payrolls[[#This Row],[Active 26-Man]]/mlb_payrolls[[#This Row],[Total Payroll Allocations]],"")</f>
        <v>0.77242981230865204</v>
      </c>
      <c r="S8" s="2">
        <f>IF(mlb_payrolls[[#This Row],[Total Payroll Allocations]]&gt;0,mlb_payrolls[[#This Row],[Injured]]/mlb_payrolls[[#This Row],[Total Payroll Allocations]])</f>
        <v>0</v>
      </c>
      <c r="T8" s="3">
        <f>IF(mlb_payrolls[[#This Row],[Total Payroll Allocations]]&gt;0,mlb_payrolls[[#This Row],[Retained]]/mlb_payrolls[[#This Row],[Total Payroll Allocations]])</f>
        <v>0.19046536723429403</v>
      </c>
      <c r="U8" s="3">
        <f>IF(mlb_payrolls[[#This Row],[Total Payroll Allocations]]&gt;0,mlb_payrolls[[#This Row],[Buried]]/mlb_payrolls[[#This Row],[Total Payroll Allocations]])</f>
        <v>1.5011203949101388E-2</v>
      </c>
      <c r="V8">
        <f>IF(mlb_payrolls[[#This Row],[Postseason]]="No Playoffs",0,1)</f>
        <v>0</v>
      </c>
    </row>
    <row r="9" spans="1:22" x14ac:dyDescent="0.3">
      <c r="A9" t="s">
        <v>12</v>
      </c>
      <c r="B9" t="s">
        <v>13</v>
      </c>
      <c r="C9">
        <v>2020</v>
      </c>
      <c r="D9">
        <v>29.3</v>
      </c>
      <c r="E9" s="1">
        <v>36720178</v>
      </c>
      <c r="F9" s="1">
        <v>35283875</v>
      </c>
      <c r="G9" s="1">
        <v>902038</v>
      </c>
      <c r="H9" s="1">
        <v>113148</v>
      </c>
      <c r="I9" s="1">
        <v>421117</v>
      </c>
      <c r="J9">
        <v>36</v>
      </c>
      <c r="K9">
        <v>24</v>
      </c>
      <c r="L9" t="s">
        <v>24</v>
      </c>
      <c r="M9">
        <f>mlb_payrolls[[#This Row],[Wins]] + mlb_payrolls[[#This Row],[Losses]]</f>
        <v>60</v>
      </c>
      <c r="N9" s="2">
        <f>IF(mlb_payrolls[[#This Row],[Games]] &gt;0, mlb_payrolls[[#This Row],[Wins]]/mlb_payrolls[[#This Row],[Games]], "")</f>
        <v>0.6</v>
      </c>
      <c r="O9" s="1">
        <f>IFERROR(VALUE(mlb_payrolls[[#This Row],[Total Payroll Allocations]])/VALUE(mlb_payrolls[[#This Row],[Wins]]),"")</f>
        <v>1020004.9444444445</v>
      </c>
      <c r="P9" s="1">
        <f>SUM(mlb_payrolls[[#This Row],[Active 26-Man]],mlb_payrolls[[#This Row],[Injured]],mlb_payrolls[[#This Row],[Retained]],mlb_payrolls[[#This Row],[Buried]])</f>
        <v>36720178</v>
      </c>
      <c r="Q9" s="1">
        <f>mlb_payrolls[[#This Row],[Total Payroll Allocations]]-mlb_payrolls[[#This Row],[Payroll Parts Sum]]</f>
        <v>0</v>
      </c>
      <c r="R9" s="2">
        <f>IF(mlb_payrolls[[#This Row],[Total Payroll Allocations]]&gt;0, mlb_payrolls[[#This Row],[Active 26-Man]]/mlb_payrolls[[#This Row],[Total Payroll Allocations]],"")</f>
        <v>0.96088518416223367</v>
      </c>
      <c r="S9" s="2">
        <f>IF(mlb_payrolls[[#This Row],[Total Payroll Allocations]]&gt;0,mlb_payrolls[[#This Row],[Injured]]/mlb_payrolls[[#This Row],[Total Payroll Allocations]])</f>
        <v>2.4565185931288241E-2</v>
      </c>
      <c r="T9" s="3">
        <f>IF(mlb_payrolls[[#This Row],[Total Payroll Allocations]]&gt;0,mlb_payrolls[[#This Row],[Retained]]/mlb_payrolls[[#This Row],[Total Payroll Allocations]])</f>
        <v>3.0813576121553657E-3</v>
      </c>
      <c r="U9" s="3">
        <f>IF(mlb_payrolls[[#This Row],[Total Payroll Allocations]]&gt;0,mlb_payrolls[[#This Row],[Buried]]/mlb_payrolls[[#This Row],[Total Payroll Allocations]])</f>
        <v>1.1468272294322757E-2</v>
      </c>
      <c r="V9">
        <f>IF(mlb_payrolls[[#This Row],[Postseason]]="No Playoffs",0,1)</f>
        <v>1</v>
      </c>
    </row>
    <row r="10" spans="1:22" x14ac:dyDescent="0.3">
      <c r="A10" t="s">
        <v>22</v>
      </c>
      <c r="B10" t="s">
        <v>23</v>
      </c>
      <c r="C10">
        <v>2020</v>
      </c>
      <c r="D10">
        <v>27.8</v>
      </c>
      <c r="E10" s="1">
        <v>39299107</v>
      </c>
      <c r="F10" s="1">
        <v>34471070</v>
      </c>
      <c r="G10" s="1">
        <v>209630</v>
      </c>
      <c r="H10" s="1">
        <v>3269241</v>
      </c>
      <c r="I10" s="1">
        <v>1139981</v>
      </c>
      <c r="J10">
        <v>35</v>
      </c>
      <c r="K10">
        <v>25</v>
      </c>
      <c r="L10" t="s">
        <v>21</v>
      </c>
      <c r="M10">
        <f>mlb_payrolls[[#This Row],[Wins]] + mlb_payrolls[[#This Row],[Losses]]</f>
        <v>60</v>
      </c>
      <c r="N10" s="2">
        <f>IF(mlb_payrolls[[#This Row],[Games]] &gt;0, mlb_payrolls[[#This Row],[Wins]]/mlb_payrolls[[#This Row],[Games]], "")</f>
        <v>0.58333333333333337</v>
      </c>
      <c r="O10" s="1">
        <f>IFERROR(VALUE(mlb_payrolls[[#This Row],[Total Payroll Allocations]])/VALUE(mlb_payrolls[[#This Row],[Wins]]),"")</f>
        <v>1122831.6285714286</v>
      </c>
      <c r="P10" s="1">
        <f>SUM(mlb_payrolls[[#This Row],[Active 26-Man]],mlb_payrolls[[#This Row],[Injured]],mlb_payrolls[[#This Row],[Retained]],mlb_payrolls[[#This Row],[Buried]])</f>
        <v>39089922</v>
      </c>
      <c r="Q10" s="1">
        <f>mlb_payrolls[[#This Row],[Total Payroll Allocations]]-mlb_payrolls[[#This Row],[Payroll Parts Sum]]</f>
        <v>209185</v>
      </c>
      <c r="R10" s="2">
        <f>IF(mlb_payrolls[[#This Row],[Total Payroll Allocations]]&gt;0, mlb_payrolls[[#This Row],[Active 26-Man]]/mlb_payrolls[[#This Row],[Total Payroll Allocations]],"")</f>
        <v>0.87714639419160334</v>
      </c>
      <c r="S10" s="2">
        <f>IF(mlb_payrolls[[#This Row],[Total Payroll Allocations]]&gt;0,mlb_payrolls[[#This Row],[Injured]]/mlb_payrolls[[#This Row],[Total Payroll Allocations]])</f>
        <v>5.3342178996586363E-3</v>
      </c>
      <c r="T10" s="3">
        <f>IF(mlb_payrolls[[#This Row],[Total Payroll Allocations]]&gt;0,mlb_payrolls[[#This Row],[Retained]]/mlb_payrolls[[#This Row],[Total Payroll Allocations]])</f>
        <v>8.3188684160176968E-2</v>
      </c>
      <c r="U10" s="3">
        <f>IF(mlb_payrolls[[#This Row],[Total Payroll Allocations]]&gt;0,mlb_payrolls[[#This Row],[Buried]]/mlb_payrolls[[#This Row],[Total Payroll Allocations]])</f>
        <v>2.9007809261416551E-2</v>
      </c>
      <c r="V10">
        <f>IF(mlb_payrolls[[#This Row],[Postseason]]="No Playoffs",0,1)</f>
        <v>1</v>
      </c>
    </row>
    <row r="11" spans="1:22" x14ac:dyDescent="0.3">
      <c r="A11" t="s">
        <v>27</v>
      </c>
      <c r="B11" t="s">
        <v>28</v>
      </c>
      <c r="C11">
        <v>2020</v>
      </c>
      <c r="D11">
        <v>27.9</v>
      </c>
      <c r="E11" s="1">
        <v>41434086</v>
      </c>
      <c r="F11" s="1">
        <v>28464819</v>
      </c>
      <c r="G11" s="1">
        <v>1203704</v>
      </c>
      <c r="H11" s="1">
        <v>4484938</v>
      </c>
      <c r="I11" s="1">
        <v>1354699</v>
      </c>
      <c r="J11">
        <v>29</v>
      </c>
      <c r="K11">
        <v>31</v>
      </c>
      <c r="L11" t="s">
        <v>14</v>
      </c>
      <c r="M11">
        <f>mlb_payrolls[[#This Row],[Wins]] + mlb_payrolls[[#This Row],[Losses]]</f>
        <v>60</v>
      </c>
      <c r="N11" s="2">
        <f>IF(mlb_payrolls[[#This Row],[Games]] &gt;0, mlb_payrolls[[#This Row],[Wins]]/mlb_payrolls[[#This Row],[Games]], "")</f>
        <v>0.48333333333333334</v>
      </c>
      <c r="O11" s="1">
        <f>IFERROR(VALUE(mlb_payrolls[[#This Row],[Total Payroll Allocations]])/VALUE(mlb_payrolls[[#This Row],[Wins]]),"")</f>
        <v>1428761.5862068965</v>
      </c>
      <c r="P11" s="1">
        <f>SUM(mlb_payrolls[[#This Row],[Active 26-Man]],mlb_payrolls[[#This Row],[Injured]],mlb_payrolls[[#This Row],[Retained]],mlb_payrolls[[#This Row],[Buried]])</f>
        <v>35508160</v>
      </c>
      <c r="Q11" s="1">
        <f>mlb_payrolls[[#This Row],[Total Payroll Allocations]]-mlb_payrolls[[#This Row],[Payroll Parts Sum]]</f>
        <v>5925926</v>
      </c>
      <c r="R11" s="2">
        <f>IF(mlb_payrolls[[#This Row],[Total Payroll Allocations]]&gt;0, mlb_payrolls[[#This Row],[Active 26-Man]]/mlb_payrolls[[#This Row],[Total Payroll Allocations]],"")</f>
        <v>0.68699039240300852</v>
      </c>
      <c r="S11" s="2">
        <f>IF(mlb_payrolls[[#This Row],[Total Payroll Allocations]]&gt;0,mlb_payrolls[[#This Row],[Injured]]/mlb_payrolls[[#This Row],[Total Payroll Allocations]])</f>
        <v>2.9051057141697298E-2</v>
      </c>
      <c r="T11" s="3">
        <f>IF(mlb_payrolls[[#This Row],[Total Payroll Allocations]]&gt;0,mlb_payrolls[[#This Row],[Retained]]/mlb_payrolls[[#This Row],[Total Payroll Allocations]])</f>
        <v>0.10824271591269082</v>
      </c>
      <c r="U11" s="3">
        <f>IF(mlb_payrolls[[#This Row],[Total Payroll Allocations]]&gt;0,mlb_payrolls[[#This Row],[Buried]]/mlb_payrolls[[#This Row],[Total Payroll Allocations]])</f>
        <v>3.2695278954626872E-2</v>
      </c>
      <c r="V11">
        <f>IF(mlb_payrolls[[#This Row],[Postseason]]="No Playoffs",0,1)</f>
        <v>0</v>
      </c>
    </row>
    <row r="12" spans="1:22" x14ac:dyDescent="0.3">
      <c r="A12" t="s">
        <v>25</v>
      </c>
      <c r="B12" t="s">
        <v>26</v>
      </c>
      <c r="C12">
        <v>2021</v>
      </c>
      <c r="D12">
        <v>26.8</v>
      </c>
      <c r="E12" s="1">
        <v>42421870</v>
      </c>
      <c r="F12" s="1">
        <v>13838690</v>
      </c>
      <c r="G12" s="1">
        <v>7682535</v>
      </c>
      <c r="H12" s="1">
        <v>19045619</v>
      </c>
      <c r="I12" s="1">
        <v>1855026</v>
      </c>
      <c r="J12">
        <v>52</v>
      </c>
      <c r="K12">
        <v>110</v>
      </c>
      <c r="L12" t="s">
        <v>14</v>
      </c>
      <c r="M12">
        <f>mlb_payrolls[[#This Row],[Wins]] + mlb_payrolls[[#This Row],[Losses]]</f>
        <v>162</v>
      </c>
      <c r="N12" s="2">
        <f>IF(mlb_payrolls[[#This Row],[Games]] &gt;0, mlb_payrolls[[#This Row],[Wins]]/mlb_payrolls[[#This Row],[Games]], "")</f>
        <v>0.32098765432098764</v>
      </c>
      <c r="O12" s="1">
        <f>IFERROR(VALUE(mlb_payrolls[[#This Row],[Total Payroll Allocations]])/VALUE(mlb_payrolls[[#This Row],[Wins]]),"")</f>
        <v>815805.19230769225</v>
      </c>
      <c r="P12" s="1">
        <f>SUM(mlb_payrolls[[#This Row],[Active 26-Man]],mlb_payrolls[[#This Row],[Injured]],mlb_payrolls[[#This Row],[Retained]],mlb_payrolls[[#This Row],[Buried]])</f>
        <v>42421870</v>
      </c>
      <c r="Q12" s="1">
        <f>mlb_payrolls[[#This Row],[Total Payroll Allocations]]-mlb_payrolls[[#This Row],[Payroll Parts Sum]]</f>
        <v>0</v>
      </c>
      <c r="R12" s="2">
        <f>IF(mlb_payrolls[[#This Row],[Total Payroll Allocations]]&gt;0, mlb_payrolls[[#This Row],[Active 26-Man]]/mlb_payrolls[[#This Row],[Total Payroll Allocations]],"")</f>
        <v>0.32621593531826865</v>
      </c>
      <c r="S12" s="2">
        <f>IF(mlb_payrolls[[#This Row],[Total Payroll Allocations]]&gt;0,mlb_payrolls[[#This Row],[Injured]]/mlb_payrolls[[#This Row],[Total Payroll Allocations]])</f>
        <v>0.1810984522841638</v>
      </c>
      <c r="T12" s="3">
        <f>IF(mlb_payrolls[[#This Row],[Total Payroll Allocations]]&gt;0,mlb_payrolls[[#This Row],[Retained]]/mlb_payrolls[[#This Row],[Total Payroll Allocations]])</f>
        <v>0.44895755420494193</v>
      </c>
      <c r="U12" s="3">
        <f>IF(mlb_payrolls[[#This Row],[Total Payroll Allocations]]&gt;0,mlb_payrolls[[#This Row],[Buried]]/mlb_payrolls[[#This Row],[Total Payroll Allocations]])</f>
        <v>4.3728058192625645E-2</v>
      </c>
      <c r="V12">
        <f>IF(mlb_payrolls[[#This Row],[Postseason]]="No Playoffs",0,1)</f>
        <v>0</v>
      </c>
    </row>
    <row r="13" spans="1:22" x14ac:dyDescent="0.3">
      <c r="A13" t="s">
        <v>19</v>
      </c>
      <c r="B13" t="s">
        <v>20</v>
      </c>
      <c r="C13">
        <v>2020</v>
      </c>
      <c r="D13">
        <v>26.7</v>
      </c>
      <c r="E13" s="1">
        <v>43164880</v>
      </c>
      <c r="F13" s="1">
        <v>29636694</v>
      </c>
      <c r="G13" s="1">
        <v>6108631</v>
      </c>
      <c r="H13" s="1">
        <v>6488226</v>
      </c>
      <c r="I13" s="1">
        <v>931329</v>
      </c>
      <c r="J13">
        <v>23</v>
      </c>
      <c r="K13">
        <v>35</v>
      </c>
      <c r="L13" t="s">
        <v>14</v>
      </c>
      <c r="M13">
        <f>mlb_payrolls[[#This Row],[Wins]] + mlb_payrolls[[#This Row],[Losses]]</f>
        <v>58</v>
      </c>
      <c r="N13" s="2">
        <f>IF(mlb_payrolls[[#This Row],[Games]] &gt;0, mlb_payrolls[[#This Row],[Wins]]/mlb_payrolls[[#This Row],[Games]], "")</f>
        <v>0.39655172413793105</v>
      </c>
      <c r="O13" s="1">
        <f>IFERROR(VALUE(mlb_payrolls[[#This Row],[Total Payroll Allocations]])/VALUE(mlb_payrolls[[#This Row],[Wins]]),"")</f>
        <v>1876733.9130434783</v>
      </c>
      <c r="P13" s="1">
        <f>SUM(mlb_payrolls[[#This Row],[Active 26-Man]],mlb_payrolls[[#This Row],[Injured]],mlb_payrolls[[#This Row],[Retained]],mlb_payrolls[[#This Row],[Buried]])</f>
        <v>43164880</v>
      </c>
      <c r="Q13" s="1">
        <f>mlb_payrolls[[#This Row],[Total Payroll Allocations]]-mlb_payrolls[[#This Row],[Payroll Parts Sum]]</f>
        <v>0</v>
      </c>
      <c r="R13" s="2">
        <f>IF(mlb_payrolls[[#This Row],[Total Payroll Allocations]]&gt;0, mlb_payrolls[[#This Row],[Active 26-Man]]/mlb_payrolls[[#This Row],[Total Payroll Allocations]],"")</f>
        <v>0.68659275781607643</v>
      </c>
      <c r="S13" s="2">
        <f>IF(mlb_payrolls[[#This Row],[Total Payroll Allocations]]&gt;0,mlb_payrolls[[#This Row],[Injured]]/mlb_payrolls[[#This Row],[Total Payroll Allocations]])</f>
        <v>0.14151854470578859</v>
      </c>
      <c r="T13" s="3">
        <f>IF(mlb_payrolls[[#This Row],[Total Payroll Allocations]]&gt;0,mlb_payrolls[[#This Row],[Retained]]/mlb_payrolls[[#This Row],[Total Payroll Allocations]])</f>
        <v>0.15031261525573569</v>
      </c>
      <c r="U13" s="3">
        <f>IF(mlb_payrolls[[#This Row],[Total Payroll Allocations]]&gt;0,mlb_payrolls[[#This Row],[Buried]]/mlb_payrolls[[#This Row],[Total Payroll Allocations]])</f>
        <v>2.1576082222399321E-2</v>
      </c>
      <c r="V13">
        <f>IF(mlb_payrolls[[#This Row],[Postseason]]="No Playoffs",0,1)</f>
        <v>0</v>
      </c>
    </row>
    <row r="14" spans="1:22" x14ac:dyDescent="0.3">
      <c r="A14" t="s">
        <v>25</v>
      </c>
      <c r="B14" t="s">
        <v>26</v>
      </c>
      <c r="C14">
        <v>2022</v>
      </c>
      <c r="D14">
        <v>27.1</v>
      </c>
      <c r="E14" s="1">
        <v>44888388</v>
      </c>
      <c r="F14" s="1">
        <v>25488146</v>
      </c>
      <c r="G14" s="1">
        <v>2759974</v>
      </c>
      <c r="H14" s="1">
        <v>13258460</v>
      </c>
      <c r="I14" s="1">
        <v>3381808</v>
      </c>
      <c r="J14">
        <v>83</v>
      </c>
      <c r="K14">
        <v>79</v>
      </c>
      <c r="L14" t="s">
        <v>14</v>
      </c>
      <c r="M14">
        <f>mlb_payrolls[[#This Row],[Wins]] + mlb_payrolls[[#This Row],[Losses]]</f>
        <v>162</v>
      </c>
      <c r="N14" s="2">
        <f>IF(mlb_payrolls[[#This Row],[Games]] &gt;0, mlb_payrolls[[#This Row],[Wins]]/mlb_payrolls[[#This Row],[Games]], "")</f>
        <v>0.51234567901234573</v>
      </c>
      <c r="O14" s="1">
        <f>IFERROR(VALUE(mlb_payrolls[[#This Row],[Total Payroll Allocations]])/VALUE(mlb_payrolls[[#This Row],[Wins]]),"")</f>
        <v>540823.95180722896</v>
      </c>
      <c r="P14" s="1">
        <f>SUM(mlb_payrolls[[#This Row],[Active 26-Man]],mlb_payrolls[[#This Row],[Injured]],mlb_payrolls[[#This Row],[Retained]],mlb_payrolls[[#This Row],[Buried]])</f>
        <v>44888388</v>
      </c>
      <c r="Q14" s="1">
        <f>mlb_payrolls[[#This Row],[Total Payroll Allocations]]-mlb_payrolls[[#This Row],[Payroll Parts Sum]]</f>
        <v>0</v>
      </c>
      <c r="R14" s="2">
        <f>IF(mlb_payrolls[[#This Row],[Total Payroll Allocations]]&gt;0, mlb_payrolls[[#This Row],[Active 26-Man]]/mlb_payrolls[[#This Row],[Total Payroll Allocations]],"")</f>
        <v>0.56781156855086889</v>
      </c>
      <c r="S14" s="2">
        <f>IF(mlb_payrolls[[#This Row],[Total Payroll Allocations]]&gt;0,mlb_payrolls[[#This Row],[Injured]]/mlb_payrolls[[#This Row],[Total Payroll Allocations]])</f>
        <v>6.1485255384978406E-2</v>
      </c>
      <c r="T14" s="3">
        <f>IF(mlb_payrolls[[#This Row],[Total Payroll Allocations]]&gt;0,mlb_payrolls[[#This Row],[Retained]]/mlb_payrolls[[#This Row],[Total Payroll Allocations]])</f>
        <v>0.29536502847908014</v>
      </c>
      <c r="U14" s="3">
        <f>IF(mlb_payrolls[[#This Row],[Total Payroll Allocations]]&gt;0,mlb_payrolls[[#This Row],[Buried]]/mlb_payrolls[[#This Row],[Total Payroll Allocations]])</f>
        <v>7.5338147585072554E-2</v>
      </c>
      <c r="V14">
        <f>IF(mlb_payrolls[[#This Row],[Postseason]]="No Playoffs",0,1)</f>
        <v>0</v>
      </c>
    </row>
    <row r="15" spans="1:22" x14ac:dyDescent="0.3">
      <c r="A15" t="s">
        <v>17</v>
      </c>
      <c r="B15" t="s">
        <v>18</v>
      </c>
      <c r="C15">
        <v>2011</v>
      </c>
      <c r="D15">
        <v>27.7</v>
      </c>
      <c r="E15" s="1">
        <v>45386925</v>
      </c>
      <c r="F15" s="1">
        <v>45386925</v>
      </c>
      <c r="G15" s="1">
        <v>0</v>
      </c>
      <c r="H15" s="1">
        <v>0</v>
      </c>
      <c r="I15" s="1">
        <v>0</v>
      </c>
      <c r="J15">
        <v>91</v>
      </c>
      <c r="K15">
        <v>71</v>
      </c>
      <c r="L15" t="s">
        <v>21</v>
      </c>
      <c r="M15">
        <f>mlb_payrolls[[#This Row],[Wins]] + mlb_payrolls[[#This Row],[Losses]]</f>
        <v>162</v>
      </c>
      <c r="N15" s="2">
        <f>IF(mlb_payrolls[[#This Row],[Games]] &gt;0, mlb_payrolls[[#This Row],[Wins]]/mlb_payrolls[[#This Row],[Games]], "")</f>
        <v>0.56172839506172845</v>
      </c>
      <c r="O15" s="1">
        <f>IFERROR(VALUE(mlb_payrolls[[#This Row],[Total Payroll Allocations]])/VALUE(mlb_payrolls[[#This Row],[Wins]]),"")</f>
        <v>498757.41758241761</v>
      </c>
      <c r="P15" s="1">
        <f>SUM(mlb_payrolls[[#This Row],[Active 26-Man]],mlb_payrolls[[#This Row],[Injured]],mlb_payrolls[[#This Row],[Retained]],mlb_payrolls[[#This Row],[Buried]])</f>
        <v>45386925</v>
      </c>
      <c r="Q15" s="1">
        <f>mlb_payrolls[[#This Row],[Total Payroll Allocations]]-mlb_payrolls[[#This Row],[Payroll Parts Sum]]</f>
        <v>0</v>
      </c>
      <c r="R15" s="2">
        <f>IF(mlb_payrolls[[#This Row],[Total Payroll Allocations]]&gt;0, mlb_payrolls[[#This Row],[Active 26-Man]]/mlb_payrolls[[#This Row],[Total Payroll Allocations]],"")</f>
        <v>1</v>
      </c>
      <c r="S15" s="2">
        <f>IF(mlb_payrolls[[#This Row],[Total Payroll Allocations]]&gt;0,mlb_payrolls[[#This Row],[Injured]]/mlb_payrolls[[#This Row],[Total Payroll Allocations]])</f>
        <v>0</v>
      </c>
      <c r="T15" s="3">
        <f>IF(mlb_payrolls[[#This Row],[Total Payroll Allocations]]&gt;0,mlb_payrolls[[#This Row],[Retained]]/mlb_payrolls[[#This Row],[Total Payroll Allocations]])</f>
        <v>0</v>
      </c>
      <c r="U15" s="3">
        <f>IF(mlb_payrolls[[#This Row],[Total Payroll Allocations]]&gt;0,mlb_payrolls[[#This Row],[Buried]]/mlb_payrolls[[#This Row],[Total Payroll Allocations]])</f>
        <v>0</v>
      </c>
      <c r="V15">
        <f>IF(mlb_payrolls[[#This Row],[Postseason]]="No Playoffs",0,1)</f>
        <v>1</v>
      </c>
    </row>
    <row r="16" spans="1:22" x14ac:dyDescent="0.3">
      <c r="A16" t="s">
        <v>15</v>
      </c>
      <c r="B16" t="s">
        <v>16</v>
      </c>
      <c r="C16">
        <v>2011</v>
      </c>
      <c r="D16">
        <v>26.9</v>
      </c>
      <c r="E16" s="1">
        <v>47976645</v>
      </c>
      <c r="F16" s="1">
        <v>46168585</v>
      </c>
      <c r="G16" s="1">
        <v>0</v>
      </c>
      <c r="H16" s="1">
        <v>1808060</v>
      </c>
      <c r="I16" s="1">
        <v>0</v>
      </c>
      <c r="J16">
        <v>72</v>
      </c>
      <c r="K16">
        <v>90</v>
      </c>
      <c r="L16" t="s">
        <v>14</v>
      </c>
      <c r="M16">
        <f>mlb_payrolls[[#This Row],[Wins]] + mlb_payrolls[[#This Row],[Losses]]</f>
        <v>162</v>
      </c>
      <c r="N16" s="2">
        <f>IF(mlb_payrolls[[#This Row],[Games]] &gt;0, mlb_payrolls[[#This Row],[Wins]]/mlb_payrolls[[#This Row],[Games]], "")</f>
        <v>0.44444444444444442</v>
      </c>
      <c r="O16" s="1">
        <f>IFERROR(VALUE(mlb_payrolls[[#This Row],[Total Payroll Allocations]])/VALUE(mlb_payrolls[[#This Row],[Wins]]),"")</f>
        <v>666342.29166666663</v>
      </c>
      <c r="P16" s="1">
        <f>SUM(mlb_payrolls[[#This Row],[Active 26-Man]],mlb_payrolls[[#This Row],[Injured]],mlb_payrolls[[#This Row],[Retained]],mlb_payrolls[[#This Row],[Buried]])</f>
        <v>47976645</v>
      </c>
      <c r="Q16" s="1">
        <f>mlb_payrolls[[#This Row],[Total Payroll Allocations]]-mlb_payrolls[[#This Row],[Payroll Parts Sum]]</f>
        <v>0</v>
      </c>
      <c r="R16" s="2">
        <f>IF(mlb_payrolls[[#This Row],[Total Payroll Allocations]]&gt;0, mlb_payrolls[[#This Row],[Active 26-Man]]/mlb_payrolls[[#This Row],[Total Payroll Allocations]],"")</f>
        <v>0.96231374661567104</v>
      </c>
      <c r="S16" s="2">
        <f>IF(mlb_payrolls[[#This Row],[Total Payroll Allocations]]&gt;0,mlb_payrolls[[#This Row],[Injured]]/mlb_payrolls[[#This Row],[Total Payroll Allocations]])</f>
        <v>0</v>
      </c>
      <c r="T16" s="3">
        <f>IF(mlb_payrolls[[#This Row],[Total Payroll Allocations]]&gt;0,mlb_payrolls[[#This Row],[Retained]]/mlb_payrolls[[#This Row],[Total Payroll Allocations]])</f>
        <v>3.7686253384328981E-2</v>
      </c>
      <c r="U16" s="3">
        <f>IF(mlb_payrolls[[#This Row],[Total Payroll Allocations]]&gt;0,mlb_payrolls[[#This Row],[Buried]]/mlb_payrolls[[#This Row],[Total Payroll Allocations]])</f>
        <v>0</v>
      </c>
      <c r="V16">
        <f>IF(mlb_payrolls[[#This Row],[Postseason]]="No Playoffs",0,1)</f>
        <v>0</v>
      </c>
    </row>
    <row r="17" spans="1:22" x14ac:dyDescent="0.3">
      <c r="A17" t="s">
        <v>41</v>
      </c>
      <c r="B17" t="s">
        <v>42</v>
      </c>
      <c r="C17">
        <v>2011</v>
      </c>
      <c r="D17">
        <v>27.9</v>
      </c>
      <c r="E17" s="1">
        <v>48018810</v>
      </c>
      <c r="F17" s="1">
        <v>47418810</v>
      </c>
      <c r="G17" s="1">
        <v>0</v>
      </c>
      <c r="H17" s="1">
        <v>600000</v>
      </c>
      <c r="I17" s="1">
        <v>0</v>
      </c>
      <c r="J17">
        <v>71</v>
      </c>
      <c r="K17">
        <v>91</v>
      </c>
      <c r="L17" t="s">
        <v>14</v>
      </c>
      <c r="M17">
        <f>mlb_payrolls[[#This Row],[Wins]] + mlb_payrolls[[#This Row],[Losses]]</f>
        <v>162</v>
      </c>
      <c r="N17" s="2">
        <f>IF(mlb_payrolls[[#This Row],[Games]] &gt;0, mlb_payrolls[[#This Row],[Wins]]/mlb_payrolls[[#This Row],[Games]], "")</f>
        <v>0.43827160493827161</v>
      </c>
      <c r="O17" s="1">
        <f>IFERROR(VALUE(mlb_payrolls[[#This Row],[Total Payroll Allocations]])/VALUE(mlb_payrolls[[#This Row],[Wins]]),"")</f>
        <v>676321.26760563382</v>
      </c>
      <c r="P17" s="1">
        <f>SUM(mlb_payrolls[[#This Row],[Active 26-Man]],mlb_payrolls[[#This Row],[Injured]],mlb_payrolls[[#This Row],[Retained]],mlb_payrolls[[#This Row],[Buried]])</f>
        <v>48018810</v>
      </c>
      <c r="Q17" s="1">
        <f>mlb_payrolls[[#This Row],[Total Payroll Allocations]]-mlb_payrolls[[#This Row],[Payroll Parts Sum]]</f>
        <v>0</v>
      </c>
      <c r="R17" s="2">
        <f>IF(mlb_payrolls[[#This Row],[Total Payroll Allocations]]&gt;0, mlb_payrolls[[#This Row],[Active 26-Man]]/mlb_payrolls[[#This Row],[Total Payroll Allocations]],"")</f>
        <v>0.98750489651867679</v>
      </c>
      <c r="S17" s="2">
        <f>IF(mlb_payrolls[[#This Row],[Total Payroll Allocations]]&gt;0,mlb_payrolls[[#This Row],[Injured]]/mlb_payrolls[[#This Row],[Total Payroll Allocations]])</f>
        <v>0</v>
      </c>
      <c r="T17" s="3">
        <f>IF(mlb_payrolls[[#This Row],[Total Payroll Allocations]]&gt;0,mlb_payrolls[[#This Row],[Retained]]/mlb_payrolls[[#This Row],[Total Payroll Allocations]])</f>
        <v>1.2495103481323256E-2</v>
      </c>
      <c r="U17" s="3">
        <f>IF(mlb_payrolls[[#This Row],[Total Payroll Allocations]]&gt;0,mlb_payrolls[[#This Row],[Buried]]/mlb_payrolls[[#This Row],[Total Payroll Allocations]])</f>
        <v>0</v>
      </c>
      <c r="V17">
        <f>IF(mlb_payrolls[[#This Row],[Postseason]]="No Playoffs",0,1)</f>
        <v>0</v>
      </c>
    </row>
    <row r="18" spans="1:22" x14ac:dyDescent="0.3">
      <c r="A18" t="s">
        <v>12</v>
      </c>
      <c r="B18" t="s">
        <v>13</v>
      </c>
      <c r="C18">
        <v>2022</v>
      </c>
      <c r="D18">
        <v>27.1</v>
      </c>
      <c r="E18" s="1">
        <v>48443900</v>
      </c>
      <c r="F18" s="1">
        <v>15196960</v>
      </c>
      <c r="G18" s="1">
        <v>6642582</v>
      </c>
      <c r="H18" s="1">
        <v>22966027</v>
      </c>
      <c r="I18" s="1">
        <v>3265269</v>
      </c>
      <c r="J18">
        <v>60</v>
      </c>
      <c r="K18">
        <v>102</v>
      </c>
      <c r="L18" t="s">
        <v>14</v>
      </c>
      <c r="M18">
        <f>mlb_payrolls[[#This Row],[Wins]] + mlb_payrolls[[#This Row],[Losses]]</f>
        <v>162</v>
      </c>
      <c r="N18" s="2">
        <f>IF(mlb_payrolls[[#This Row],[Games]] &gt;0, mlb_payrolls[[#This Row],[Wins]]/mlb_payrolls[[#This Row],[Games]], "")</f>
        <v>0.37037037037037035</v>
      </c>
      <c r="O18" s="1">
        <f>IFERROR(VALUE(mlb_payrolls[[#This Row],[Total Payroll Allocations]])/VALUE(mlb_payrolls[[#This Row],[Wins]]),"")</f>
        <v>807398.33333333337</v>
      </c>
      <c r="P18" s="1">
        <f>SUM(mlb_payrolls[[#This Row],[Active 26-Man]],mlb_payrolls[[#This Row],[Injured]],mlb_payrolls[[#This Row],[Retained]],mlb_payrolls[[#This Row],[Buried]])</f>
        <v>48070838</v>
      </c>
      <c r="Q18" s="1">
        <f>mlb_payrolls[[#This Row],[Total Payroll Allocations]]-mlb_payrolls[[#This Row],[Payroll Parts Sum]]</f>
        <v>373062</v>
      </c>
      <c r="R18" s="2">
        <f>IF(mlb_payrolls[[#This Row],[Total Payroll Allocations]]&gt;0, mlb_payrolls[[#This Row],[Active 26-Man]]/mlb_payrolls[[#This Row],[Total Payroll Allocations]],"")</f>
        <v>0.31370224114904044</v>
      </c>
      <c r="S18" s="2">
        <f>IF(mlb_payrolls[[#This Row],[Total Payroll Allocations]]&gt;0,mlb_payrolls[[#This Row],[Injured]]/mlb_payrolls[[#This Row],[Total Payroll Allocations]])</f>
        <v>0.13711905936557545</v>
      </c>
      <c r="T18" s="3">
        <f>IF(mlb_payrolls[[#This Row],[Total Payroll Allocations]]&gt;0,mlb_payrolls[[#This Row],[Retained]]/mlb_payrolls[[#This Row],[Total Payroll Allocations]])</f>
        <v>0.47407469258255425</v>
      </c>
      <c r="U18" s="3">
        <f>IF(mlb_payrolls[[#This Row],[Total Payroll Allocations]]&gt;0,mlb_payrolls[[#This Row],[Buried]]/mlb_payrolls[[#This Row],[Total Payroll Allocations]])</f>
        <v>6.7403099255014559E-2</v>
      </c>
      <c r="V18">
        <f>IF(mlb_payrolls[[#This Row],[Postseason]]="No Playoffs",0,1)</f>
        <v>0</v>
      </c>
    </row>
    <row r="19" spans="1:22" x14ac:dyDescent="0.3">
      <c r="A19" t="s">
        <v>35</v>
      </c>
      <c r="B19" t="s">
        <v>36</v>
      </c>
      <c r="C19">
        <v>2014</v>
      </c>
      <c r="D19">
        <v>26.8</v>
      </c>
      <c r="E19" s="1">
        <v>50559679</v>
      </c>
      <c r="F19" s="1">
        <v>42496784</v>
      </c>
      <c r="G19" s="1">
        <v>0</v>
      </c>
      <c r="H19" s="1">
        <v>7939616</v>
      </c>
      <c r="I19" s="1">
        <v>123279</v>
      </c>
      <c r="J19">
        <v>77</v>
      </c>
      <c r="K19">
        <v>85</v>
      </c>
      <c r="L19" t="s">
        <v>14</v>
      </c>
      <c r="M19">
        <f>mlb_payrolls[[#This Row],[Wins]] + mlb_payrolls[[#This Row],[Losses]]</f>
        <v>162</v>
      </c>
      <c r="N19" s="2">
        <f>IF(mlb_payrolls[[#This Row],[Games]] &gt;0, mlb_payrolls[[#This Row],[Wins]]/mlb_payrolls[[#This Row],[Games]], "")</f>
        <v>0.47530864197530864</v>
      </c>
      <c r="O19" s="1">
        <f>IFERROR(VALUE(mlb_payrolls[[#This Row],[Total Payroll Allocations]])/VALUE(mlb_payrolls[[#This Row],[Wins]]),"")</f>
        <v>656619.20779220783</v>
      </c>
      <c r="P19" s="1">
        <f>SUM(mlb_payrolls[[#This Row],[Active 26-Man]],mlb_payrolls[[#This Row],[Injured]],mlb_payrolls[[#This Row],[Retained]],mlb_payrolls[[#This Row],[Buried]])</f>
        <v>50559679</v>
      </c>
      <c r="Q19" s="1">
        <f>mlb_payrolls[[#This Row],[Total Payroll Allocations]]-mlb_payrolls[[#This Row],[Payroll Parts Sum]]</f>
        <v>0</v>
      </c>
      <c r="R19" s="2">
        <f>IF(mlb_payrolls[[#This Row],[Total Payroll Allocations]]&gt;0, mlb_payrolls[[#This Row],[Active 26-Man]]/mlb_payrolls[[#This Row],[Total Payroll Allocations]],"")</f>
        <v>0.84052717185961567</v>
      </c>
      <c r="S19" s="2">
        <f>IF(mlb_payrolls[[#This Row],[Total Payroll Allocations]]&gt;0,mlb_payrolls[[#This Row],[Injured]]/mlb_payrolls[[#This Row],[Total Payroll Allocations]])</f>
        <v>0</v>
      </c>
      <c r="T19" s="3">
        <f>IF(mlb_payrolls[[#This Row],[Total Payroll Allocations]]&gt;0,mlb_payrolls[[#This Row],[Retained]]/mlb_payrolls[[#This Row],[Total Payroll Allocations]])</f>
        <v>0.15703454129920405</v>
      </c>
      <c r="U19" s="3">
        <f>IF(mlb_payrolls[[#This Row],[Total Payroll Allocations]]&gt;0,mlb_payrolls[[#This Row],[Buried]]/mlb_payrolls[[#This Row],[Total Payroll Allocations]])</f>
        <v>2.4382868411803012E-3</v>
      </c>
      <c r="V19">
        <f>IF(mlb_payrolls[[#This Row],[Postseason]]="No Playoffs",0,1)</f>
        <v>0</v>
      </c>
    </row>
    <row r="20" spans="1:22" x14ac:dyDescent="0.3">
      <c r="A20" t="s">
        <v>39</v>
      </c>
      <c r="B20" t="s">
        <v>40</v>
      </c>
      <c r="C20">
        <v>2020</v>
      </c>
      <c r="D20">
        <v>26.8</v>
      </c>
      <c r="E20" s="1">
        <v>50563459</v>
      </c>
      <c r="F20" s="1">
        <v>25865136</v>
      </c>
      <c r="G20" s="1">
        <v>3268960</v>
      </c>
      <c r="H20" s="1">
        <v>30708712</v>
      </c>
      <c r="I20" s="1">
        <v>165095</v>
      </c>
      <c r="J20">
        <v>27</v>
      </c>
      <c r="K20">
        <v>33</v>
      </c>
      <c r="L20" t="s">
        <v>14</v>
      </c>
      <c r="M20">
        <f>mlb_payrolls[[#This Row],[Wins]] + mlb_payrolls[[#This Row],[Losses]]</f>
        <v>60</v>
      </c>
      <c r="N20" s="2">
        <f>IF(mlb_payrolls[[#This Row],[Games]] &gt;0, mlb_payrolls[[#This Row],[Wins]]/mlb_payrolls[[#This Row],[Games]], "")</f>
        <v>0.45</v>
      </c>
      <c r="O20" s="1">
        <f>IFERROR(VALUE(mlb_payrolls[[#This Row],[Total Payroll Allocations]])/VALUE(mlb_payrolls[[#This Row],[Wins]]),"")</f>
        <v>1872720.7037037036</v>
      </c>
      <c r="P20" s="1">
        <f>SUM(mlb_payrolls[[#This Row],[Active 26-Man]],mlb_payrolls[[#This Row],[Injured]],mlb_payrolls[[#This Row],[Retained]],mlb_payrolls[[#This Row],[Buried]])</f>
        <v>60007903</v>
      </c>
      <c r="Q20" s="1">
        <f>mlb_payrolls[[#This Row],[Total Payroll Allocations]]-mlb_payrolls[[#This Row],[Payroll Parts Sum]]</f>
        <v>-9444444</v>
      </c>
      <c r="R20" s="2">
        <f>IF(mlb_payrolls[[#This Row],[Total Payroll Allocations]]&gt;0, mlb_payrolls[[#This Row],[Active 26-Man]]/mlb_payrolls[[#This Row],[Total Payroll Allocations]],"")</f>
        <v>0.5115381050176967</v>
      </c>
      <c r="S20" s="2">
        <f>IF(mlb_payrolls[[#This Row],[Total Payroll Allocations]]&gt;0,mlb_payrolls[[#This Row],[Injured]]/mlb_payrolls[[#This Row],[Total Payroll Allocations]])</f>
        <v>6.4650640297373649E-2</v>
      </c>
      <c r="T20" s="3">
        <f>IF(mlb_payrolls[[#This Row],[Total Payroll Allocations]]&gt;0,mlb_payrolls[[#This Row],[Retained]]/mlb_payrolls[[#This Row],[Total Payroll Allocations]])</f>
        <v>0.60733012747407178</v>
      </c>
      <c r="U20" s="3">
        <f>IF(mlb_payrolls[[#This Row],[Total Payroll Allocations]]&gt;0,mlb_payrolls[[#This Row],[Buried]]/mlb_payrolls[[#This Row],[Total Payroll Allocations]])</f>
        <v>3.2651049446597393E-3</v>
      </c>
      <c r="V20">
        <f>IF(mlb_payrolls[[#This Row],[Postseason]]="No Playoffs",0,1)</f>
        <v>0</v>
      </c>
    </row>
    <row r="21" spans="1:22" x14ac:dyDescent="0.3">
      <c r="A21" t="s">
        <v>22</v>
      </c>
      <c r="B21" t="s">
        <v>23</v>
      </c>
      <c r="C21">
        <v>2021</v>
      </c>
      <c r="D21">
        <v>26.6</v>
      </c>
      <c r="E21" s="1">
        <v>50670534</v>
      </c>
      <c r="F21" s="1">
        <v>35682311</v>
      </c>
      <c r="G21" s="1">
        <v>1367760</v>
      </c>
      <c r="H21" s="1">
        <v>11873544</v>
      </c>
      <c r="I21" s="1">
        <v>1470889</v>
      </c>
      <c r="J21">
        <v>80</v>
      </c>
      <c r="K21">
        <v>82</v>
      </c>
      <c r="L21" t="s">
        <v>14</v>
      </c>
      <c r="M21">
        <f>mlb_payrolls[[#This Row],[Wins]] + mlb_payrolls[[#This Row],[Losses]]</f>
        <v>162</v>
      </c>
      <c r="N21" s="2">
        <f>IF(mlb_payrolls[[#This Row],[Games]] &gt;0, mlb_payrolls[[#This Row],[Wins]]/mlb_payrolls[[#This Row],[Games]], "")</f>
        <v>0.49382716049382713</v>
      </c>
      <c r="O21" s="1">
        <f>IFERROR(VALUE(mlb_payrolls[[#This Row],[Total Payroll Allocations]])/VALUE(mlb_payrolls[[#This Row],[Wins]]),"")</f>
        <v>633381.67500000005</v>
      </c>
      <c r="P21" s="1">
        <f>SUM(mlb_payrolls[[#This Row],[Active 26-Man]],mlb_payrolls[[#This Row],[Injured]],mlb_payrolls[[#This Row],[Retained]],mlb_payrolls[[#This Row],[Buried]])</f>
        <v>50394504</v>
      </c>
      <c r="Q21" s="1">
        <f>mlb_payrolls[[#This Row],[Total Payroll Allocations]]-mlb_payrolls[[#This Row],[Payroll Parts Sum]]</f>
        <v>276030</v>
      </c>
      <c r="R21" s="2">
        <f>IF(mlb_payrolls[[#This Row],[Total Payroll Allocations]]&gt;0, mlb_payrolls[[#This Row],[Active 26-Man]]/mlb_payrolls[[#This Row],[Total Payroll Allocations]],"")</f>
        <v>0.70420238713095074</v>
      </c>
      <c r="S21" s="2">
        <f>IF(mlb_payrolls[[#This Row],[Total Payroll Allocations]]&gt;0,mlb_payrolls[[#This Row],[Injured]]/mlb_payrolls[[#This Row],[Total Payroll Allocations]])</f>
        <v>2.6993202795139282E-2</v>
      </c>
      <c r="T21" s="3">
        <f>IF(mlb_payrolls[[#This Row],[Total Payroll Allocations]]&gt;0,mlb_payrolls[[#This Row],[Retained]]/mlb_payrolls[[#This Row],[Total Payroll Allocations]])</f>
        <v>0.23432837711953064</v>
      </c>
      <c r="U21" s="3">
        <f>IF(mlb_payrolls[[#This Row],[Total Payroll Allocations]]&gt;0,mlb_payrolls[[#This Row],[Buried]]/mlb_payrolls[[#This Row],[Total Payroll Allocations]])</f>
        <v>2.9028488233417866E-2</v>
      </c>
      <c r="V21">
        <f>IF(mlb_payrolls[[#This Row],[Postseason]]="No Playoffs",0,1)</f>
        <v>0</v>
      </c>
    </row>
    <row r="22" spans="1:22" x14ac:dyDescent="0.3">
      <c r="A22" t="s">
        <v>65</v>
      </c>
      <c r="B22" t="s">
        <v>66</v>
      </c>
      <c r="C22">
        <v>2014</v>
      </c>
      <c r="D22">
        <v>26.7</v>
      </c>
      <c r="E22" s="1">
        <v>51679490</v>
      </c>
      <c r="F22" s="1">
        <v>45231726</v>
      </c>
      <c r="G22" s="1">
        <v>0</v>
      </c>
      <c r="H22" s="1">
        <v>6051590</v>
      </c>
      <c r="I22" s="1">
        <v>396174</v>
      </c>
      <c r="J22">
        <v>70</v>
      </c>
      <c r="K22">
        <v>92</v>
      </c>
      <c r="L22" t="s">
        <v>14</v>
      </c>
      <c r="M22">
        <f>mlb_payrolls[[#This Row],[Wins]] + mlb_payrolls[[#This Row],[Losses]]</f>
        <v>162</v>
      </c>
      <c r="N22" s="2">
        <f>IF(mlb_payrolls[[#This Row],[Games]] &gt;0, mlb_payrolls[[#This Row],[Wins]]/mlb_payrolls[[#This Row],[Games]], "")</f>
        <v>0.43209876543209874</v>
      </c>
      <c r="O22" s="1">
        <f>IFERROR(VALUE(mlb_payrolls[[#This Row],[Total Payroll Allocations]])/VALUE(mlb_payrolls[[#This Row],[Wins]]),"")</f>
        <v>738278.42857142852</v>
      </c>
      <c r="P22" s="1">
        <f>SUM(mlb_payrolls[[#This Row],[Active 26-Man]],mlb_payrolls[[#This Row],[Injured]],mlb_payrolls[[#This Row],[Retained]],mlb_payrolls[[#This Row],[Buried]])</f>
        <v>51679490</v>
      </c>
      <c r="Q22" s="1">
        <f>mlb_payrolls[[#This Row],[Total Payroll Allocations]]-mlb_payrolls[[#This Row],[Payroll Parts Sum]]</f>
        <v>0</v>
      </c>
      <c r="R22" s="2">
        <f>IF(mlb_payrolls[[#This Row],[Total Payroll Allocations]]&gt;0, mlb_payrolls[[#This Row],[Active 26-Man]]/mlb_payrolls[[#This Row],[Total Payroll Allocations]],"")</f>
        <v>0.87523553347759431</v>
      </c>
      <c r="S22" s="2">
        <f>IF(mlb_payrolls[[#This Row],[Total Payroll Allocations]]&gt;0,mlb_payrolls[[#This Row],[Injured]]/mlb_payrolls[[#This Row],[Total Payroll Allocations]])</f>
        <v>0</v>
      </c>
      <c r="T22" s="3">
        <f>IF(mlb_payrolls[[#This Row],[Total Payroll Allocations]]&gt;0,mlb_payrolls[[#This Row],[Retained]]/mlb_payrolls[[#This Row],[Total Payroll Allocations]])</f>
        <v>0.11709848529851978</v>
      </c>
      <c r="U22" s="3">
        <f>IF(mlb_payrolls[[#This Row],[Total Payroll Allocations]]&gt;0,mlb_payrolls[[#This Row],[Buried]]/mlb_payrolls[[#This Row],[Total Payroll Allocations]])</f>
        <v>7.6659812238859164E-3</v>
      </c>
      <c r="V22">
        <f>IF(mlb_payrolls[[#This Row],[Postseason]]="No Playoffs",0,1)</f>
        <v>0</v>
      </c>
    </row>
    <row r="23" spans="1:22" x14ac:dyDescent="0.3">
      <c r="A23" t="s">
        <v>31</v>
      </c>
      <c r="B23" t="s">
        <v>32</v>
      </c>
      <c r="C23">
        <v>2011</v>
      </c>
      <c r="D23">
        <v>26.1</v>
      </c>
      <c r="E23" s="1">
        <v>52486804</v>
      </c>
      <c r="F23" s="1">
        <v>38687131</v>
      </c>
      <c r="G23" s="1">
        <v>0</v>
      </c>
      <c r="H23" s="1">
        <v>12419673</v>
      </c>
      <c r="I23" s="1">
        <v>1380000</v>
      </c>
      <c r="J23">
        <v>71</v>
      </c>
      <c r="K23">
        <v>91</v>
      </c>
      <c r="L23" t="s">
        <v>14</v>
      </c>
      <c r="M23">
        <f>mlb_payrolls[[#This Row],[Wins]] + mlb_payrolls[[#This Row],[Losses]]</f>
        <v>162</v>
      </c>
      <c r="N23" s="2">
        <f>IF(mlb_payrolls[[#This Row],[Games]] &gt;0, mlb_payrolls[[#This Row],[Wins]]/mlb_payrolls[[#This Row],[Games]], "")</f>
        <v>0.43827160493827161</v>
      </c>
      <c r="O23" s="1">
        <f>IFERROR(VALUE(mlb_payrolls[[#This Row],[Total Payroll Allocations]])/VALUE(mlb_payrolls[[#This Row],[Wins]]),"")</f>
        <v>739250.76056338032</v>
      </c>
      <c r="P23" s="1">
        <f>SUM(mlb_payrolls[[#This Row],[Active 26-Man]],mlb_payrolls[[#This Row],[Injured]],mlb_payrolls[[#This Row],[Retained]],mlb_payrolls[[#This Row],[Buried]])</f>
        <v>52486804</v>
      </c>
      <c r="Q23" s="1">
        <f>mlb_payrolls[[#This Row],[Total Payroll Allocations]]-mlb_payrolls[[#This Row],[Payroll Parts Sum]]</f>
        <v>0</v>
      </c>
      <c r="R23" s="2">
        <f>IF(mlb_payrolls[[#This Row],[Total Payroll Allocations]]&gt;0, mlb_payrolls[[#This Row],[Active 26-Man]]/mlb_payrolls[[#This Row],[Total Payroll Allocations]],"")</f>
        <v>0.73708300090056922</v>
      </c>
      <c r="S23" s="2">
        <f>IF(mlb_payrolls[[#This Row],[Total Payroll Allocations]]&gt;0,mlb_payrolls[[#This Row],[Injured]]/mlb_payrolls[[#This Row],[Total Payroll Allocations]])</f>
        <v>0</v>
      </c>
      <c r="T23" s="3">
        <f>IF(mlb_payrolls[[#This Row],[Total Payroll Allocations]]&gt;0,mlb_payrolls[[#This Row],[Retained]]/mlb_payrolls[[#This Row],[Total Payroll Allocations]])</f>
        <v>0.23662467617574887</v>
      </c>
      <c r="U23" s="3">
        <f>IF(mlb_payrolls[[#This Row],[Total Payroll Allocations]]&gt;0,mlb_payrolls[[#This Row],[Buried]]/mlb_payrolls[[#This Row],[Total Payroll Allocations]])</f>
        <v>2.6292322923681923E-2</v>
      </c>
      <c r="V23">
        <f>IF(mlb_payrolls[[#This Row],[Postseason]]="No Playoffs",0,1)</f>
        <v>0</v>
      </c>
    </row>
    <row r="24" spans="1:22" x14ac:dyDescent="0.3">
      <c r="A24" t="s">
        <v>69</v>
      </c>
      <c r="B24" t="s">
        <v>70</v>
      </c>
      <c r="C24">
        <v>2020</v>
      </c>
      <c r="D24">
        <v>27.3</v>
      </c>
      <c r="E24" s="1">
        <v>53665251</v>
      </c>
      <c r="F24" s="1">
        <v>43034329</v>
      </c>
      <c r="G24" s="1">
        <v>1819815</v>
      </c>
      <c r="H24" s="1">
        <v>7812642</v>
      </c>
      <c r="I24" s="1">
        <v>789761</v>
      </c>
      <c r="J24">
        <v>35</v>
      </c>
      <c r="K24">
        <v>25</v>
      </c>
      <c r="L24" t="s">
        <v>21</v>
      </c>
      <c r="M24">
        <f>mlb_payrolls[[#This Row],[Wins]] + mlb_payrolls[[#This Row],[Losses]]</f>
        <v>60</v>
      </c>
      <c r="N24" s="2">
        <f>IF(mlb_payrolls[[#This Row],[Games]] &gt;0, mlb_payrolls[[#This Row],[Wins]]/mlb_payrolls[[#This Row],[Games]], "")</f>
        <v>0.58333333333333337</v>
      </c>
      <c r="O24" s="1">
        <f>IFERROR(VALUE(mlb_payrolls[[#This Row],[Total Payroll Allocations]])/VALUE(mlb_payrolls[[#This Row],[Wins]]),"")</f>
        <v>1533292.8857142858</v>
      </c>
      <c r="P24" s="1">
        <f>SUM(mlb_payrolls[[#This Row],[Active 26-Man]],mlb_payrolls[[#This Row],[Injured]],mlb_payrolls[[#This Row],[Retained]],mlb_payrolls[[#This Row],[Buried]])</f>
        <v>53456547</v>
      </c>
      <c r="Q24" s="1">
        <f>mlb_payrolls[[#This Row],[Total Payroll Allocations]]-mlb_payrolls[[#This Row],[Payroll Parts Sum]]</f>
        <v>208704</v>
      </c>
      <c r="R24" s="2">
        <f>IF(mlb_payrolls[[#This Row],[Total Payroll Allocations]]&gt;0, mlb_payrolls[[#This Row],[Active 26-Man]]/mlb_payrolls[[#This Row],[Total Payroll Allocations]],"")</f>
        <v>0.801903060138487</v>
      </c>
      <c r="S24" s="2">
        <f>IF(mlb_payrolls[[#This Row],[Total Payroll Allocations]]&gt;0,mlb_payrolls[[#This Row],[Injured]]/mlb_payrolls[[#This Row],[Total Payroll Allocations]])</f>
        <v>3.3910490794126724E-2</v>
      </c>
      <c r="T24" s="3">
        <f>IF(mlb_payrolls[[#This Row],[Total Payroll Allocations]]&gt;0,mlb_payrolls[[#This Row],[Retained]]/mlb_payrolls[[#This Row],[Total Payroll Allocations]])</f>
        <v>0.14558102038878007</v>
      </c>
      <c r="U24" s="3">
        <f>IF(mlb_payrolls[[#This Row],[Total Payroll Allocations]]&gt;0,mlb_payrolls[[#This Row],[Buried]]/mlb_payrolls[[#This Row],[Total Payroll Allocations]])</f>
        <v>1.4716431681275469E-2</v>
      </c>
      <c r="V24">
        <f>IF(mlb_payrolls[[#This Row],[Postseason]]="No Playoffs",0,1)</f>
        <v>1</v>
      </c>
    </row>
    <row r="25" spans="1:22" x14ac:dyDescent="0.3">
      <c r="A25" t="s">
        <v>67</v>
      </c>
      <c r="B25" t="s">
        <v>68</v>
      </c>
      <c r="C25">
        <v>2020</v>
      </c>
      <c r="D25">
        <v>27.6</v>
      </c>
      <c r="E25" s="1">
        <v>54237801</v>
      </c>
      <c r="F25" s="1">
        <v>33467052</v>
      </c>
      <c r="G25" s="1">
        <v>5114444</v>
      </c>
      <c r="H25" s="1">
        <v>14667030</v>
      </c>
      <c r="I25" s="1">
        <v>778905</v>
      </c>
      <c r="J25">
        <v>32</v>
      </c>
      <c r="K25">
        <v>28</v>
      </c>
      <c r="L25" t="s">
        <v>14</v>
      </c>
      <c r="M25">
        <f>mlb_payrolls[[#This Row],[Wins]] + mlb_payrolls[[#This Row],[Losses]]</f>
        <v>60</v>
      </c>
      <c r="N25" s="2">
        <f>IF(mlb_payrolls[[#This Row],[Games]] &gt;0, mlb_payrolls[[#This Row],[Wins]]/mlb_payrolls[[#This Row],[Games]], "")</f>
        <v>0.53333333333333333</v>
      </c>
      <c r="O25" s="1">
        <f>IFERROR(VALUE(mlb_payrolls[[#This Row],[Total Payroll Allocations]])/VALUE(mlb_payrolls[[#This Row],[Wins]]),"")</f>
        <v>1694931.28125</v>
      </c>
      <c r="P25" s="1">
        <f>SUM(mlb_payrolls[[#This Row],[Active 26-Man]],mlb_payrolls[[#This Row],[Injured]],mlb_payrolls[[#This Row],[Retained]],mlb_payrolls[[#This Row],[Buried]])</f>
        <v>54027431</v>
      </c>
      <c r="Q25" s="1">
        <f>mlb_payrolls[[#This Row],[Total Payroll Allocations]]-mlb_payrolls[[#This Row],[Payroll Parts Sum]]</f>
        <v>210370</v>
      </c>
      <c r="R25" s="2">
        <f>IF(mlb_payrolls[[#This Row],[Total Payroll Allocations]]&gt;0, mlb_payrolls[[#This Row],[Active 26-Man]]/mlb_payrolls[[#This Row],[Total Payroll Allocations]],"")</f>
        <v>0.61704293653055731</v>
      </c>
      <c r="S25" s="2">
        <f>IF(mlb_payrolls[[#This Row],[Total Payroll Allocations]]&gt;0,mlb_payrolls[[#This Row],[Injured]]/mlb_payrolls[[#This Row],[Total Payroll Allocations]])</f>
        <v>9.4296669586585932E-2</v>
      </c>
      <c r="T25" s="3">
        <f>IF(mlb_payrolls[[#This Row],[Total Payroll Allocations]]&gt;0,mlb_payrolls[[#This Row],[Retained]]/mlb_payrolls[[#This Row],[Total Payroll Allocations]])</f>
        <v>0.2704208085427357</v>
      </c>
      <c r="U25" s="3">
        <f>IF(mlb_payrolls[[#This Row],[Total Payroll Allocations]]&gt;0,mlb_payrolls[[#This Row],[Buried]]/mlb_payrolls[[#This Row],[Total Payroll Allocations]])</f>
        <v>1.4360925141489419E-2</v>
      </c>
      <c r="V25">
        <f>IF(mlb_payrolls[[#This Row],[Postseason]]="No Playoffs",0,1)</f>
        <v>0</v>
      </c>
    </row>
    <row r="26" spans="1:22" x14ac:dyDescent="0.3">
      <c r="A26" t="s">
        <v>15</v>
      </c>
      <c r="B26" t="s">
        <v>16</v>
      </c>
      <c r="C26">
        <v>2021</v>
      </c>
      <c r="D26">
        <v>26.8</v>
      </c>
      <c r="E26" s="1">
        <v>54356609</v>
      </c>
      <c r="F26" s="1">
        <v>17797841</v>
      </c>
      <c r="G26" s="1">
        <v>7847255</v>
      </c>
      <c r="H26" s="1">
        <v>19989602</v>
      </c>
      <c r="I26" s="1">
        <v>971911</v>
      </c>
      <c r="J26">
        <v>61</v>
      </c>
      <c r="K26">
        <v>101</v>
      </c>
      <c r="L26" t="s">
        <v>14</v>
      </c>
      <c r="M26">
        <f>mlb_payrolls[[#This Row],[Wins]] + mlb_payrolls[[#This Row],[Losses]]</f>
        <v>162</v>
      </c>
      <c r="N26" s="2">
        <f>IF(mlb_payrolls[[#This Row],[Games]] &gt;0, mlb_payrolls[[#This Row],[Wins]]/mlb_payrolls[[#This Row],[Games]], "")</f>
        <v>0.37654320987654322</v>
      </c>
      <c r="O26" s="1">
        <f>IFERROR(VALUE(mlb_payrolls[[#This Row],[Total Payroll Allocations]])/VALUE(mlb_payrolls[[#This Row],[Wins]]),"")</f>
        <v>891091.95081967209</v>
      </c>
      <c r="P26" s="1">
        <f>SUM(mlb_payrolls[[#This Row],[Active 26-Man]],mlb_payrolls[[#This Row],[Injured]],mlb_payrolls[[#This Row],[Retained]],mlb_payrolls[[#This Row],[Buried]])</f>
        <v>46606609</v>
      </c>
      <c r="Q26" s="1">
        <f>mlb_payrolls[[#This Row],[Total Payroll Allocations]]-mlb_payrolls[[#This Row],[Payroll Parts Sum]]</f>
        <v>7750000</v>
      </c>
      <c r="R26" s="2">
        <f>IF(mlb_payrolls[[#This Row],[Total Payroll Allocations]]&gt;0, mlb_payrolls[[#This Row],[Active 26-Man]]/mlb_payrolls[[#This Row],[Total Payroll Allocations]],"")</f>
        <v>0.32742736030498149</v>
      </c>
      <c r="S26" s="2">
        <f>IF(mlb_payrolls[[#This Row],[Total Payroll Allocations]]&gt;0,mlb_payrolls[[#This Row],[Injured]]/mlb_payrolls[[#This Row],[Total Payroll Allocations]])</f>
        <v>0.14436616161983173</v>
      </c>
      <c r="T26" s="3">
        <f>IF(mlb_payrolls[[#This Row],[Total Payroll Allocations]]&gt;0,mlb_payrolls[[#This Row],[Retained]]/mlb_payrolls[[#This Row],[Total Payroll Allocations]])</f>
        <v>0.36774924646237589</v>
      </c>
      <c r="U26" s="3">
        <f>IF(mlb_payrolls[[#This Row],[Total Payroll Allocations]]&gt;0,mlb_payrolls[[#This Row],[Buried]]/mlb_payrolls[[#This Row],[Total Payroll Allocations]])</f>
        <v>1.788027284777827E-2</v>
      </c>
      <c r="V26">
        <f>IF(mlb_payrolls[[#This Row],[Postseason]]="No Playoffs",0,1)</f>
        <v>0</v>
      </c>
    </row>
    <row r="27" spans="1:22" x14ac:dyDescent="0.3">
      <c r="A27" t="s">
        <v>65</v>
      </c>
      <c r="B27" t="s">
        <v>66</v>
      </c>
      <c r="C27">
        <v>2012</v>
      </c>
      <c r="D27">
        <v>26.1</v>
      </c>
      <c r="E27" s="1">
        <v>54547239</v>
      </c>
      <c r="F27" s="1">
        <v>23728500</v>
      </c>
      <c r="G27" s="1">
        <v>0</v>
      </c>
      <c r="H27" s="1">
        <v>30818739</v>
      </c>
      <c r="I27" s="1">
        <v>0</v>
      </c>
      <c r="J27">
        <v>55</v>
      </c>
      <c r="K27">
        <v>107</v>
      </c>
      <c r="L27" t="s">
        <v>14</v>
      </c>
      <c r="M27">
        <f>mlb_payrolls[[#This Row],[Wins]] + mlb_payrolls[[#This Row],[Losses]]</f>
        <v>162</v>
      </c>
      <c r="N27" s="2">
        <f>IF(mlb_payrolls[[#This Row],[Games]] &gt;0, mlb_payrolls[[#This Row],[Wins]]/mlb_payrolls[[#This Row],[Games]], "")</f>
        <v>0.33950617283950618</v>
      </c>
      <c r="O27" s="1">
        <f>IFERROR(VALUE(mlb_payrolls[[#This Row],[Total Payroll Allocations]])/VALUE(mlb_payrolls[[#This Row],[Wins]]),"")</f>
        <v>991767.98181818181</v>
      </c>
      <c r="P27" s="1">
        <f>SUM(mlb_payrolls[[#This Row],[Active 26-Man]],mlb_payrolls[[#This Row],[Injured]],mlb_payrolls[[#This Row],[Retained]],mlb_payrolls[[#This Row],[Buried]])</f>
        <v>54547239</v>
      </c>
      <c r="Q27" s="1">
        <f>mlb_payrolls[[#This Row],[Total Payroll Allocations]]-mlb_payrolls[[#This Row],[Payroll Parts Sum]]</f>
        <v>0</v>
      </c>
      <c r="R27" s="2">
        <f>IF(mlb_payrolls[[#This Row],[Total Payroll Allocations]]&gt;0, mlb_payrolls[[#This Row],[Active 26-Man]]/mlb_payrolls[[#This Row],[Total Payroll Allocations]],"")</f>
        <v>0.43500826870448933</v>
      </c>
      <c r="S27" s="2">
        <f>IF(mlb_payrolls[[#This Row],[Total Payroll Allocations]]&gt;0,mlb_payrolls[[#This Row],[Injured]]/mlb_payrolls[[#This Row],[Total Payroll Allocations]])</f>
        <v>0</v>
      </c>
      <c r="T27" s="3">
        <f>IF(mlb_payrolls[[#This Row],[Total Payroll Allocations]]&gt;0,mlb_payrolls[[#This Row],[Retained]]/mlb_payrolls[[#This Row],[Total Payroll Allocations]])</f>
        <v>0.56499173129551061</v>
      </c>
      <c r="U27" s="3">
        <f>IF(mlb_payrolls[[#This Row],[Total Payroll Allocations]]&gt;0,mlb_payrolls[[#This Row],[Buried]]/mlb_payrolls[[#This Row],[Total Payroll Allocations]])</f>
        <v>0</v>
      </c>
      <c r="V27">
        <f>IF(mlb_payrolls[[#This Row],[Postseason]]="No Playoffs",0,1)</f>
        <v>0</v>
      </c>
    </row>
    <row r="28" spans="1:22" x14ac:dyDescent="0.3">
      <c r="A28" t="s">
        <v>29</v>
      </c>
      <c r="B28" t="s">
        <v>30</v>
      </c>
      <c r="C28">
        <v>2020</v>
      </c>
      <c r="D28">
        <v>28.4</v>
      </c>
      <c r="E28" s="1">
        <v>55147001</v>
      </c>
      <c r="F28" s="1">
        <v>51854326</v>
      </c>
      <c r="G28" s="1">
        <v>658696</v>
      </c>
      <c r="H28" s="1">
        <v>1922138</v>
      </c>
      <c r="I28" s="1">
        <v>711841</v>
      </c>
      <c r="J28">
        <v>31</v>
      </c>
      <c r="K28">
        <v>29</v>
      </c>
      <c r="L28" t="s">
        <v>14</v>
      </c>
      <c r="M28">
        <f>mlb_payrolls[[#This Row],[Wins]] + mlb_payrolls[[#This Row],[Losses]]</f>
        <v>60</v>
      </c>
      <c r="N28" s="2">
        <f>IF(mlb_payrolls[[#This Row],[Games]] &gt;0, mlb_payrolls[[#This Row],[Wins]]/mlb_payrolls[[#This Row],[Games]], "")</f>
        <v>0.51666666666666672</v>
      </c>
      <c r="O28" s="1">
        <f>IFERROR(VALUE(mlb_payrolls[[#This Row],[Total Payroll Allocations]])/VALUE(mlb_payrolls[[#This Row],[Wins]]),"")</f>
        <v>1778935.5161290322</v>
      </c>
      <c r="P28" s="1">
        <f>SUM(mlb_payrolls[[#This Row],[Active 26-Man]],mlb_payrolls[[#This Row],[Injured]],mlb_payrolls[[#This Row],[Retained]],mlb_payrolls[[#This Row],[Buried]])</f>
        <v>55147001</v>
      </c>
      <c r="Q28" s="1">
        <f>mlb_payrolls[[#This Row],[Total Payroll Allocations]]-mlb_payrolls[[#This Row],[Payroll Parts Sum]]</f>
        <v>0</v>
      </c>
      <c r="R28" s="2">
        <f>IF(mlb_payrolls[[#This Row],[Total Payroll Allocations]]&gt;0, mlb_payrolls[[#This Row],[Active 26-Man]]/mlb_payrolls[[#This Row],[Total Payroll Allocations]],"")</f>
        <v>0.94029276406163953</v>
      </c>
      <c r="S28" s="2">
        <f>IF(mlb_payrolls[[#This Row],[Total Payroll Allocations]]&gt;0,mlb_payrolls[[#This Row],[Injured]]/mlb_payrolls[[#This Row],[Total Payroll Allocations]])</f>
        <v>1.1944366657399919E-2</v>
      </c>
      <c r="T28" s="3">
        <f>IF(mlb_payrolls[[#This Row],[Total Payroll Allocations]]&gt;0,mlb_payrolls[[#This Row],[Retained]]/mlb_payrolls[[#This Row],[Total Payroll Allocations]])</f>
        <v>3.4854805613092177E-2</v>
      </c>
      <c r="U28" s="3">
        <f>IF(mlb_payrolls[[#This Row],[Total Payroll Allocations]]&gt;0,mlb_payrolls[[#This Row],[Buried]]/mlb_payrolls[[#This Row],[Total Payroll Allocations]])</f>
        <v>1.2908063667868359E-2</v>
      </c>
      <c r="V28">
        <f>IF(mlb_payrolls[[#This Row],[Postseason]]="No Playoffs",0,1)</f>
        <v>0</v>
      </c>
    </row>
    <row r="29" spans="1:22" x14ac:dyDescent="0.3">
      <c r="A29" t="s">
        <v>22</v>
      </c>
      <c r="B29" t="s">
        <v>23</v>
      </c>
      <c r="C29">
        <v>2011</v>
      </c>
      <c r="D29">
        <v>27.4</v>
      </c>
      <c r="E29" s="1">
        <v>55960593</v>
      </c>
      <c r="F29" s="1">
        <v>55960593</v>
      </c>
      <c r="G29" s="1">
        <v>0</v>
      </c>
      <c r="H29" s="1">
        <v>0</v>
      </c>
      <c r="I29" s="1">
        <v>0</v>
      </c>
      <c r="J29">
        <v>80</v>
      </c>
      <c r="K29">
        <v>82</v>
      </c>
      <c r="L29" t="s">
        <v>14</v>
      </c>
      <c r="M29">
        <f>mlb_payrolls[[#This Row],[Wins]] + mlb_payrolls[[#This Row],[Losses]]</f>
        <v>162</v>
      </c>
      <c r="N29" s="2">
        <f>IF(mlb_payrolls[[#This Row],[Games]] &gt;0, mlb_payrolls[[#This Row],[Wins]]/mlb_payrolls[[#This Row],[Games]], "")</f>
        <v>0.49382716049382713</v>
      </c>
      <c r="O29" s="1">
        <f>IFERROR(VALUE(mlb_payrolls[[#This Row],[Total Payroll Allocations]])/VALUE(mlb_payrolls[[#This Row],[Wins]]),"")</f>
        <v>699507.41249999998</v>
      </c>
      <c r="P29" s="1">
        <f>SUM(mlb_payrolls[[#This Row],[Active 26-Man]],mlb_payrolls[[#This Row],[Injured]],mlb_payrolls[[#This Row],[Retained]],mlb_payrolls[[#This Row],[Buried]])</f>
        <v>55960593</v>
      </c>
      <c r="Q29" s="1">
        <f>mlb_payrolls[[#This Row],[Total Payroll Allocations]]-mlb_payrolls[[#This Row],[Payroll Parts Sum]]</f>
        <v>0</v>
      </c>
      <c r="R29" s="2">
        <f>IF(mlb_payrolls[[#This Row],[Total Payroll Allocations]]&gt;0, mlb_payrolls[[#This Row],[Active 26-Man]]/mlb_payrolls[[#This Row],[Total Payroll Allocations]],"")</f>
        <v>1</v>
      </c>
      <c r="S29" s="2">
        <f>IF(mlb_payrolls[[#This Row],[Total Payroll Allocations]]&gt;0,mlb_payrolls[[#This Row],[Injured]]/mlb_payrolls[[#This Row],[Total Payroll Allocations]])</f>
        <v>0</v>
      </c>
      <c r="T29" s="3">
        <f>IF(mlb_payrolls[[#This Row],[Total Payroll Allocations]]&gt;0,mlb_payrolls[[#This Row],[Retained]]/mlb_payrolls[[#This Row],[Total Payroll Allocations]])</f>
        <v>0</v>
      </c>
      <c r="U29" s="3">
        <f>IF(mlb_payrolls[[#This Row],[Total Payroll Allocations]]&gt;0,mlb_payrolls[[#This Row],[Buried]]/mlb_payrolls[[#This Row],[Total Payroll Allocations]])</f>
        <v>0</v>
      </c>
      <c r="V29">
        <f>IF(mlb_payrolls[[#This Row],[Postseason]]="No Playoffs",0,1)</f>
        <v>0</v>
      </c>
    </row>
    <row r="30" spans="1:22" x14ac:dyDescent="0.3">
      <c r="A30" t="s">
        <v>63</v>
      </c>
      <c r="B30" t="s">
        <v>64</v>
      </c>
      <c r="C30">
        <v>2020</v>
      </c>
      <c r="D30">
        <v>26.8</v>
      </c>
      <c r="E30" s="1">
        <v>56098581</v>
      </c>
      <c r="F30" s="1">
        <v>23101258</v>
      </c>
      <c r="G30" s="1">
        <v>16905177</v>
      </c>
      <c r="H30" s="1">
        <v>15338320</v>
      </c>
      <c r="I30" s="1">
        <v>505066</v>
      </c>
      <c r="J30">
        <v>22</v>
      </c>
      <c r="K30">
        <v>38</v>
      </c>
      <c r="L30" t="s">
        <v>14</v>
      </c>
      <c r="M30">
        <f>mlb_payrolls[[#This Row],[Wins]] + mlb_payrolls[[#This Row],[Losses]]</f>
        <v>60</v>
      </c>
      <c r="N30" s="2">
        <f>IF(mlb_payrolls[[#This Row],[Games]] &gt;0, mlb_payrolls[[#This Row],[Wins]]/mlb_payrolls[[#This Row],[Games]], "")</f>
        <v>0.36666666666666664</v>
      </c>
      <c r="O30" s="1">
        <f>IFERROR(VALUE(mlb_payrolls[[#This Row],[Total Payroll Allocations]])/VALUE(mlb_payrolls[[#This Row],[Wins]]),"")</f>
        <v>2549935.5</v>
      </c>
      <c r="P30" s="1">
        <f>SUM(mlb_payrolls[[#This Row],[Active 26-Man]],mlb_payrolls[[#This Row],[Injured]],mlb_payrolls[[#This Row],[Retained]],mlb_payrolls[[#This Row],[Buried]])</f>
        <v>55849821</v>
      </c>
      <c r="Q30" s="1">
        <f>mlb_payrolls[[#This Row],[Total Payroll Allocations]]-mlb_payrolls[[#This Row],[Payroll Parts Sum]]</f>
        <v>248760</v>
      </c>
      <c r="R30" s="2">
        <f>IF(mlb_payrolls[[#This Row],[Total Payroll Allocations]]&gt;0, mlb_payrolls[[#This Row],[Active 26-Man]]/mlb_payrolls[[#This Row],[Total Payroll Allocations]],"")</f>
        <v>0.41179754618035702</v>
      </c>
      <c r="S30" s="2">
        <f>IF(mlb_payrolls[[#This Row],[Total Payroll Allocations]]&gt;0,mlb_payrolls[[#This Row],[Injured]]/mlb_payrolls[[#This Row],[Total Payroll Allocations]])</f>
        <v>0.30134767579950017</v>
      </c>
      <c r="T30" s="3">
        <f>IF(mlb_payrolls[[#This Row],[Total Payroll Allocations]]&gt;0,mlb_payrolls[[#This Row],[Retained]]/mlb_payrolls[[#This Row],[Total Payroll Allocations]])</f>
        <v>0.27341725452912974</v>
      </c>
      <c r="U30" s="3">
        <f>IF(mlb_payrolls[[#This Row],[Total Payroll Allocations]]&gt;0,mlb_payrolls[[#This Row],[Buried]]/mlb_payrolls[[#This Row],[Total Payroll Allocations]])</f>
        <v>9.0031867294468639E-3</v>
      </c>
      <c r="V30">
        <f>IF(mlb_payrolls[[#This Row],[Postseason]]="No Playoffs",0,1)</f>
        <v>0</v>
      </c>
    </row>
    <row r="31" spans="1:22" x14ac:dyDescent="0.3">
      <c r="A31" t="s">
        <v>15</v>
      </c>
      <c r="B31" t="s">
        <v>16</v>
      </c>
      <c r="C31">
        <v>2022</v>
      </c>
      <c r="D31">
        <v>26</v>
      </c>
      <c r="E31" s="1">
        <v>56184032</v>
      </c>
      <c r="F31" s="1">
        <v>30472503</v>
      </c>
      <c r="G31" s="1">
        <v>8449026</v>
      </c>
      <c r="H31" s="1">
        <v>13072838</v>
      </c>
      <c r="I31" s="1">
        <v>4189665</v>
      </c>
      <c r="J31">
        <v>62</v>
      </c>
      <c r="K31">
        <v>100</v>
      </c>
      <c r="L31" t="s">
        <v>14</v>
      </c>
      <c r="M31">
        <f>mlb_payrolls[[#This Row],[Wins]] + mlb_payrolls[[#This Row],[Losses]]</f>
        <v>162</v>
      </c>
      <c r="N31" s="2">
        <f>IF(mlb_payrolls[[#This Row],[Games]] &gt;0, mlb_payrolls[[#This Row],[Wins]]/mlb_payrolls[[#This Row],[Games]], "")</f>
        <v>0.38271604938271603</v>
      </c>
      <c r="O31" s="1">
        <f>IFERROR(VALUE(mlb_payrolls[[#This Row],[Total Payroll Allocations]])/VALUE(mlb_payrolls[[#This Row],[Wins]]),"")</f>
        <v>906194.06451612909</v>
      </c>
      <c r="P31" s="1">
        <f>SUM(mlb_payrolls[[#This Row],[Active 26-Man]],mlb_payrolls[[#This Row],[Injured]],mlb_payrolls[[#This Row],[Retained]],mlb_payrolls[[#This Row],[Buried]])</f>
        <v>56184032</v>
      </c>
      <c r="Q31" s="1">
        <f>mlb_payrolls[[#This Row],[Total Payroll Allocations]]-mlb_payrolls[[#This Row],[Payroll Parts Sum]]</f>
        <v>0</v>
      </c>
      <c r="R31" s="2">
        <f>IF(mlb_payrolls[[#This Row],[Total Payroll Allocations]]&gt;0, mlb_payrolls[[#This Row],[Active 26-Man]]/mlb_payrolls[[#This Row],[Total Payroll Allocations]],"")</f>
        <v>0.54236945828309369</v>
      </c>
      <c r="S31" s="2">
        <f>IF(mlb_payrolls[[#This Row],[Total Payroll Allocations]]&gt;0,mlb_payrolls[[#This Row],[Injured]]/mlb_payrolls[[#This Row],[Total Payroll Allocations]])</f>
        <v>0.15038126847144043</v>
      </c>
      <c r="T31" s="3">
        <f>IF(mlb_payrolls[[#This Row],[Total Payroll Allocations]]&gt;0,mlb_payrolls[[#This Row],[Retained]]/mlb_payrolls[[#This Row],[Total Payroll Allocations]])</f>
        <v>0.23267888641384799</v>
      </c>
      <c r="U31" s="3">
        <f>IF(mlb_payrolls[[#This Row],[Total Payroll Allocations]]&gt;0,mlb_payrolls[[#This Row],[Buried]]/mlb_payrolls[[#This Row],[Total Payroll Allocations]])</f>
        <v>7.457038683161793E-2</v>
      </c>
      <c r="V31">
        <f>IF(mlb_payrolls[[#This Row],[Postseason]]="No Playoffs",0,1)</f>
        <v>0</v>
      </c>
    </row>
    <row r="32" spans="1:22" x14ac:dyDescent="0.3">
      <c r="A32" t="s">
        <v>35</v>
      </c>
      <c r="B32" t="s">
        <v>36</v>
      </c>
      <c r="C32">
        <v>2021</v>
      </c>
      <c r="D32">
        <v>27.1</v>
      </c>
      <c r="E32" s="1">
        <v>58088180</v>
      </c>
      <c r="F32" s="1">
        <v>16304223</v>
      </c>
      <c r="G32" s="1">
        <v>15489077</v>
      </c>
      <c r="H32" s="1">
        <v>23940904</v>
      </c>
      <c r="I32" s="1">
        <v>2353976</v>
      </c>
      <c r="J32">
        <v>67</v>
      </c>
      <c r="K32">
        <v>95</v>
      </c>
      <c r="L32" t="s">
        <v>14</v>
      </c>
      <c r="M32">
        <f>mlb_payrolls[[#This Row],[Wins]] + mlb_payrolls[[#This Row],[Losses]]</f>
        <v>162</v>
      </c>
      <c r="N32" s="2">
        <f>IF(mlb_payrolls[[#This Row],[Games]] &gt;0, mlb_payrolls[[#This Row],[Wins]]/mlb_payrolls[[#This Row],[Games]], "")</f>
        <v>0.41358024691358025</v>
      </c>
      <c r="O32" s="1">
        <f>IFERROR(VALUE(mlb_payrolls[[#This Row],[Total Payroll Allocations]])/VALUE(mlb_payrolls[[#This Row],[Wins]]),"")</f>
        <v>866987.76119402982</v>
      </c>
      <c r="P32" s="1">
        <f>SUM(mlb_payrolls[[#This Row],[Active 26-Man]],mlb_payrolls[[#This Row],[Injured]],mlb_payrolls[[#This Row],[Retained]],mlb_payrolls[[#This Row],[Buried]])</f>
        <v>58088180</v>
      </c>
      <c r="Q32" s="1">
        <f>mlb_payrolls[[#This Row],[Total Payroll Allocations]]-mlb_payrolls[[#This Row],[Payroll Parts Sum]]</f>
        <v>0</v>
      </c>
      <c r="R32" s="2">
        <f>IF(mlb_payrolls[[#This Row],[Total Payroll Allocations]]&gt;0, mlb_payrolls[[#This Row],[Active 26-Man]]/mlb_payrolls[[#This Row],[Total Payroll Allocations]],"")</f>
        <v>0.28068056186301588</v>
      </c>
      <c r="S32" s="2">
        <f>IF(mlb_payrolls[[#This Row],[Total Payroll Allocations]]&gt;0,mlb_payrolls[[#This Row],[Injured]]/mlb_payrolls[[#This Row],[Total Payroll Allocations]])</f>
        <v>0.26664765534055296</v>
      </c>
      <c r="T32" s="3">
        <f>IF(mlb_payrolls[[#This Row],[Total Payroll Allocations]]&gt;0,mlb_payrolls[[#This Row],[Retained]]/mlb_payrolls[[#This Row],[Total Payroll Allocations]])</f>
        <v>0.41214760042404497</v>
      </c>
      <c r="U32" s="3">
        <f>IF(mlb_payrolls[[#This Row],[Total Payroll Allocations]]&gt;0,mlb_payrolls[[#This Row],[Buried]]/mlb_payrolls[[#This Row],[Total Payroll Allocations]])</f>
        <v>4.052418237238626E-2</v>
      </c>
      <c r="V32">
        <f>IF(mlb_payrolls[[#This Row],[Postseason]]="No Playoffs",0,1)</f>
        <v>0</v>
      </c>
    </row>
    <row r="33" spans="1:22" x14ac:dyDescent="0.3">
      <c r="A33" t="s">
        <v>37</v>
      </c>
      <c r="B33" t="s">
        <v>38</v>
      </c>
      <c r="C33">
        <v>2020</v>
      </c>
      <c r="D33">
        <v>29.5</v>
      </c>
      <c r="E33" s="1">
        <v>59679689</v>
      </c>
      <c r="F33" s="1">
        <v>49057558</v>
      </c>
      <c r="G33" s="1">
        <v>6876058</v>
      </c>
      <c r="H33" s="1">
        <v>7313300</v>
      </c>
      <c r="I33" s="1">
        <v>840180</v>
      </c>
      <c r="J33">
        <v>36</v>
      </c>
      <c r="K33">
        <v>24</v>
      </c>
      <c r="L33" t="s">
        <v>24</v>
      </c>
      <c r="M33">
        <f>mlb_payrolls[[#This Row],[Wins]] + mlb_payrolls[[#This Row],[Losses]]</f>
        <v>60</v>
      </c>
      <c r="N33" s="2">
        <f>IF(mlb_payrolls[[#This Row],[Games]] &gt;0, mlb_payrolls[[#This Row],[Wins]]/mlb_payrolls[[#This Row],[Games]], "")</f>
        <v>0.6</v>
      </c>
      <c r="O33" s="1">
        <f>IFERROR(VALUE(mlb_payrolls[[#This Row],[Total Payroll Allocations]])/VALUE(mlb_payrolls[[#This Row],[Wins]]),"")</f>
        <v>1657769.138888889</v>
      </c>
      <c r="P33" s="1">
        <f>SUM(mlb_payrolls[[#This Row],[Active 26-Man]],mlb_payrolls[[#This Row],[Injured]],mlb_payrolls[[#This Row],[Retained]],mlb_payrolls[[#This Row],[Buried]])</f>
        <v>64087096</v>
      </c>
      <c r="Q33" s="1">
        <f>mlb_payrolls[[#This Row],[Total Payroll Allocations]]-mlb_payrolls[[#This Row],[Payroll Parts Sum]]</f>
        <v>-4407407</v>
      </c>
      <c r="R33" s="2">
        <f>IF(mlb_payrolls[[#This Row],[Total Payroll Allocations]]&gt;0, mlb_payrolls[[#This Row],[Active 26-Man]]/mlb_payrolls[[#This Row],[Total Payroll Allocations]],"")</f>
        <v>0.82201430372735351</v>
      </c>
      <c r="S33" s="2">
        <f>IF(mlb_payrolls[[#This Row],[Total Payroll Allocations]]&gt;0,mlb_payrolls[[#This Row],[Injured]]/mlb_payrolls[[#This Row],[Total Payroll Allocations]])</f>
        <v>0.11521604946701382</v>
      </c>
      <c r="T33" s="3">
        <f>IF(mlb_payrolls[[#This Row],[Total Payroll Allocations]]&gt;0,mlb_payrolls[[#This Row],[Retained]]/mlb_payrolls[[#This Row],[Total Payroll Allocations]])</f>
        <v>0.12254252866498684</v>
      </c>
      <c r="U33" s="3">
        <f>IF(mlb_payrolls[[#This Row],[Total Payroll Allocations]]&gt;0,mlb_payrolls[[#This Row],[Buried]]/mlb_payrolls[[#This Row],[Total Payroll Allocations]])</f>
        <v>1.4078156472966875E-2</v>
      </c>
      <c r="V33">
        <f>IF(mlb_payrolls[[#This Row],[Postseason]]="No Playoffs",0,1)</f>
        <v>1</v>
      </c>
    </row>
    <row r="34" spans="1:22" x14ac:dyDescent="0.3">
      <c r="A34" t="s">
        <v>12</v>
      </c>
      <c r="B34" t="s">
        <v>13</v>
      </c>
      <c r="C34">
        <v>2012</v>
      </c>
      <c r="D34">
        <v>27.2</v>
      </c>
      <c r="E34" s="1">
        <v>60470192</v>
      </c>
      <c r="F34" s="1">
        <v>56608334</v>
      </c>
      <c r="G34" s="1">
        <v>0</v>
      </c>
      <c r="H34" s="1">
        <v>3861858</v>
      </c>
      <c r="I34" s="1">
        <v>0</v>
      </c>
      <c r="J34">
        <v>94</v>
      </c>
      <c r="K34">
        <v>68</v>
      </c>
      <c r="L34" t="s">
        <v>24</v>
      </c>
      <c r="M34">
        <f>mlb_payrolls[[#This Row],[Wins]] + mlb_payrolls[[#This Row],[Losses]]</f>
        <v>162</v>
      </c>
      <c r="N34" s="2">
        <f>IF(mlb_payrolls[[#This Row],[Games]] &gt;0, mlb_payrolls[[#This Row],[Wins]]/mlb_payrolls[[#This Row],[Games]], "")</f>
        <v>0.58024691358024694</v>
      </c>
      <c r="O34" s="1">
        <f>IFERROR(VALUE(mlb_payrolls[[#This Row],[Total Payroll Allocations]])/VALUE(mlb_payrolls[[#This Row],[Wins]]),"")</f>
        <v>643299.91489361704</v>
      </c>
      <c r="P34" s="1">
        <f>SUM(mlb_payrolls[[#This Row],[Active 26-Man]],mlb_payrolls[[#This Row],[Injured]],mlb_payrolls[[#This Row],[Retained]],mlb_payrolls[[#This Row],[Buried]])</f>
        <v>60470192</v>
      </c>
      <c r="Q34" s="1">
        <f>mlb_payrolls[[#This Row],[Total Payroll Allocations]]-mlb_payrolls[[#This Row],[Payroll Parts Sum]]</f>
        <v>0</v>
      </c>
      <c r="R34" s="2">
        <f>IF(mlb_payrolls[[#This Row],[Total Payroll Allocations]]&gt;0, mlb_payrolls[[#This Row],[Active 26-Man]]/mlb_payrolls[[#This Row],[Total Payroll Allocations]],"")</f>
        <v>0.93613617102456037</v>
      </c>
      <c r="S34" s="2">
        <f>IF(mlb_payrolls[[#This Row],[Total Payroll Allocations]]&gt;0,mlb_payrolls[[#This Row],[Injured]]/mlb_payrolls[[#This Row],[Total Payroll Allocations]])</f>
        <v>0</v>
      </c>
      <c r="T34" s="3">
        <f>IF(mlb_payrolls[[#This Row],[Total Payroll Allocations]]&gt;0,mlb_payrolls[[#This Row],[Retained]]/mlb_payrolls[[#This Row],[Total Payroll Allocations]])</f>
        <v>6.3863828975439671E-2</v>
      </c>
      <c r="U34" s="3">
        <f>IF(mlb_payrolls[[#This Row],[Total Payroll Allocations]]&gt;0,mlb_payrolls[[#This Row],[Buried]]/mlb_payrolls[[#This Row],[Total Payroll Allocations]])</f>
        <v>0</v>
      </c>
      <c r="V34">
        <f>IF(mlb_payrolls[[#This Row],[Postseason]]="No Playoffs",0,1)</f>
        <v>1</v>
      </c>
    </row>
    <row r="35" spans="1:22" x14ac:dyDescent="0.3">
      <c r="A35" t="s">
        <v>57</v>
      </c>
      <c r="B35" t="s">
        <v>58</v>
      </c>
      <c r="C35">
        <v>2020</v>
      </c>
      <c r="D35">
        <v>29.1</v>
      </c>
      <c r="E35" s="1">
        <v>60552671</v>
      </c>
      <c r="F35" s="1">
        <v>50458292</v>
      </c>
      <c r="G35" s="1">
        <v>7255497</v>
      </c>
      <c r="H35" s="1">
        <v>1000284</v>
      </c>
      <c r="I35" s="1">
        <v>838598</v>
      </c>
      <c r="J35">
        <v>35</v>
      </c>
      <c r="K35">
        <v>25</v>
      </c>
      <c r="L35" t="s">
        <v>24</v>
      </c>
      <c r="M35">
        <f>mlb_payrolls[[#This Row],[Wins]] + mlb_payrolls[[#This Row],[Losses]]</f>
        <v>60</v>
      </c>
      <c r="N35" s="2">
        <f>IF(mlb_payrolls[[#This Row],[Games]] &gt;0, mlb_payrolls[[#This Row],[Wins]]/mlb_payrolls[[#This Row],[Games]], "")</f>
        <v>0.58333333333333337</v>
      </c>
      <c r="O35" s="1">
        <f>IFERROR(VALUE(mlb_payrolls[[#This Row],[Total Payroll Allocations]])/VALUE(mlb_payrolls[[#This Row],[Wins]]),"")</f>
        <v>1730076.3142857142</v>
      </c>
      <c r="P35" s="1">
        <f>SUM(mlb_payrolls[[#This Row],[Active 26-Man]],mlb_payrolls[[#This Row],[Injured]],mlb_payrolls[[#This Row],[Retained]],mlb_payrolls[[#This Row],[Buried]])</f>
        <v>59552671</v>
      </c>
      <c r="Q35" s="1">
        <f>mlb_payrolls[[#This Row],[Total Payroll Allocations]]-mlb_payrolls[[#This Row],[Payroll Parts Sum]]</f>
        <v>1000000</v>
      </c>
      <c r="R35" s="2">
        <f>IF(mlb_payrolls[[#This Row],[Total Payroll Allocations]]&gt;0, mlb_payrolls[[#This Row],[Active 26-Man]]/mlb_payrolls[[#This Row],[Total Payroll Allocations]],"")</f>
        <v>0.8332958921002841</v>
      </c>
      <c r="S35" s="2">
        <f>IF(mlb_payrolls[[#This Row],[Total Payroll Allocations]]&gt;0,mlb_payrolls[[#This Row],[Injured]]/mlb_payrolls[[#This Row],[Total Payroll Allocations]])</f>
        <v>0.11982125445795777</v>
      </c>
      <c r="T35" s="3">
        <f>IF(mlb_payrolls[[#This Row],[Total Payroll Allocations]]&gt;0,mlb_payrolls[[#This Row],[Retained]]/mlb_payrolls[[#This Row],[Total Payroll Allocations]])</f>
        <v>1.6519238267788384E-2</v>
      </c>
      <c r="U35" s="3">
        <f>IF(mlb_payrolls[[#This Row],[Total Payroll Allocations]]&gt;0,mlb_payrolls[[#This Row],[Buried]]/mlb_payrolls[[#This Row],[Total Payroll Allocations]])</f>
        <v>1.3849067037852054E-2</v>
      </c>
      <c r="V35">
        <f>IF(mlb_payrolls[[#This Row],[Postseason]]="No Playoffs",0,1)</f>
        <v>1</v>
      </c>
    </row>
    <row r="36" spans="1:22" x14ac:dyDescent="0.3">
      <c r="A36" t="s">
        <v>15</v>
      </c>
      <c r="B36" t="s">
        <v>16</v>
      </c>
      <c r="C36">
        <v>2012</v>
      </c>
      <c r="D36">
        <v>28.2</v>
      </c>
      <c r="E36" s="1">
        <v>61118682</v>
      </c>
      <c r="F36" s="1">
        <v>57932479</v>
      </c>
      <c r="G36" s="1">
        <v>0</v>
      </c>
      <c r="H36" s="1">
        <v>3186203</v>
      </c>
      <c r="I36" s="1">
        <v>0</v>
      </c>
      <c r="J36">
        <v>79</v>
      </c>
      <c r="K36">
        <v>83</v>
      </c>
      <c r="L36" t="s">
        <v>14</v>
      </c>
      <c r="M36">
        <f>mlb_payrolls[[#This Row],[Wins]] + mlb_payrolls[[#This Row],[Losses]]</f>
        <v>162</v>
      </c>
      <c r="N36" s="2">
        <f>IF(mlb_payrolls[[#This Row],[Games]] &gt;0, mlb_payrolls[[#This Row],[Wins]]/mlb_payrolls[[#This Row],[Games]], "")</f>
        <v>0.48765432098765432</v>
      </c>
      <c r="O36" s="1">
        <f>IFERROR(VALUE(mlb_payrolls[[#This Row],[Total Payroll Allocations]])/VALUE(mlb_payrolls[[#This Row],[Wins]]),"")</f>
        <v>773654.20253164554</v>
      </c>
      <c r="P36" s="1">
        <f>SUM(mlb_payrolls[[#This Row],[Active 26-Man]],mlb_payrolls[[#This Row],[Injured]],mlb_payrolls[[#This Row],[Retained]],mlb_payrolls[[#This Row],[Buried]])</f>
        <v>61118682</v>
      </c>
      <c r="Q36" s="1">
        <f>mlb_payrolls[[#This Row],[Total Payroll Allocations]]-mlb_payrolls[[#This Row],[Payroll Parts Sum]]</f>
        <v>0</v>
      </c>
      <c r="R36" s="2">
        <f>IF(mlb_payrolls[[#This Row],[Total Payroll Allocations]]&gt;0, mlb_payrolls[[#This Row],[Active 26-Man]]/mlb_payrolls[[#This Row],[Total Payroll Allocations]],"")</f>
        <v>0.94786859114533917</v>
      </c>
      <c r="S36" s="2">
        <f>IF(mlb_payrolls[[#This Row],[Total Payroll Allocations]]&gt;0,mlb_payrolls[[#This Row],[Injured]]/mlb_payrolls[[#This Row],[Total Payroll Allocations]])</f>
        <v>0</v>
      </c>
      <c r="T36" s="3">
        <f>IF(mlb_payrolls[[#This Row],[Total Payroll Allocations]]&gt;0,mlb_payrolls[[#This Row],[Retained]]/mlb_payrolls[[#This Row],[Total Payroll Allocations]])</f>
        <v>5.2131408854660839E-2</v>
      </c>
      <c r="U36" s="3">
        <f>IF(mlb_payrolls[[#This Row],[Total Payroll Allocations]]&gt;0,mlb_payrolls[[#This Row],[Buried]]/mlb_payrolls[[#This Row],[Total Payroll Allocations]])</f>
        <v>0</v>
      </c>
      <c r="V36">
        <f>IF(mlb_payrolls[[#This Row],[Postseason]]="No Playoffs",0,1)</f>
        <v>0</v>
      </c>
    </row>
    <row r="37" spans="1:22" x14ac:dyDescent="0.3">
      <c r="A37" t="s">
        <v>12</v>
      </c>
      <c r="B37" t="s">
        <v>13</v>
      </c>
      <c r="C37">
        <v>2024</v>
      </c>
      <c r="D37">
        <v>26.5</v>
      </c>
      <c r="E37" s="1">
        <v>62132581</v>
      </c>
      <c r="F37" s="1">
        <v>28956713</v>
      </c>
      <c r="G37" s="1">
        <v>15581092</v>
      </c>
      <c r="H37" s="1">
        <v>15557073</v>
      </c>
      <c r="I37" s="1">
        <v>1763221</v>
      </c>
      <c r="J37">
        <v>69</v>
      </c>
      <c r="K37">
        <v>93</v>
      </c>
      <c r="L37" t="s">
        <v>14</v>
      </c>
      <c r="M37">
        <f>mlb_payrolls[[#This Row],[Wins]] + mlb_payrolls[[#This Row],[Losses]]</f>
        <v>162</v>
      </c>
      <c r="N37" s="2">
        <f>IF(mlb_payrolls[[#This Row],[Games]] &gt;0, mlb_payrolls[[#This Row],[Wins]]/mlb_payrolls[[#This Row],[Games]], "")</f>
        <v>0.42592592592592593</v>
      </c>
      <c r="O37" s="1">
        <f>IFERROR(VALUE(mlb_payrolls[[#This Row],[Total Payroll Allocations]])/VALUE(mlb_payrolls[[#This Row],[Wins]]),"")</f>
        <v>900472.18840579712</v>
      </c>
      <c r="P37" s="1">
        <f>SUM(mlb_payrolls[[#This Row],[Active 26-Man]],mlb_payrolls[[#This Row],[Injured]],mlb_payrolls[[#This Row],[Retained]],mlb_payrolls[[#This Row],[Buried]])</f>
        <v>61858099</v>
      </c>
      <c r="Q37" s="1">
        <f>mlb_payrolls[[#This Row],[Total Payroll Allocations]]-mlb_payrolls[[#This Row],[Payroll Parts Sum]]</f>
        <v>274482</v>
      </c>
      <c r="R37" s="2">
        <f>IF(mlb_payrolls[[#This Row],[Total Payroll Allocations]]&gt;0, mlb_payrolls[[#This Row],[Active 26-Man]]/mlb_payrolls[[#This Row],[Total Payroll Allocations]],"")</f>
        <v>0.4660471613113899</v>
      </c>
      <c r="S37" s="2">
        <f>IF(mlb_payrolls[[#This Row],[Total Payroll Allocations]]&gt;0,mlb_payrolls[[#This Row],[Injured]]/mlb_payrolls[[#This Row],[Total Payroll Allocations]])</f>
        <v>0.25077168450478504</v>
      </c>
      <c r="T37" s="3">
        <f>IF(mlb_payrolls[[#This Row],[Total Payroll Allocations]]&gt;0,mlb_payrolls[[#This Row],[Retained]]/mlb_payrolls[[#This Row],[Total Payroll Allocations]])</f>
        <v>0.25038510793556124</v>
      </c>
      <c r="U37" s="3">
        <f>IF(mlb_payrolls[[#This Row],[Total Payroll Allocations]]&gt;0,mlb_payrolls[[#This Row],[Buried]]/mlb_payrolls[[#This Row],[Total Payroll Allocations]])</f>
        <v>2.8378364001971849E-2</v>
      </c>
      <c r="V37">
        <f>IF(mlb_payrolls[[#This Row],[Postseason]]="No Playoffs",0,1)</f>
        <v>0</v>
      </c>
    </row>
    <row r="38" spans="1:22" x14ac:dyDescent="0.3">
      <c r="A38" t="s">
        <v>27</v>
      </c>
      <c r="B38" t="s">
        <v>28</v>
      </c>
      <c r="C38">
        <v>2016</v>
      </c>
      <c r="D38">
        <v>27.1</v>
      </c>
      <c r="E38" s="1">
        <v>62161191</v>
      </c>
      <c r="F38" s="1">
        <v>49464613</v>
      </c>
      <c r="G38" s="1">
        <v>2517700</v>
      </c>
      <c r="H38" s="1">
        <v>8299097</v>
      </c>
      <c r="I38" s="1">
        <v>1879781</v>
      </c>
      <c r="J38">
        <v>73</v>
      </c>
      <c r="K38">
        <v>89</v>
      </c>
      <c r="L38" t="s">
        <v>14</v>
      </c>
      <c r="M38">
        <f>mlb_payrolls[[#This Row],[Wins]] + mlb_payrolls[[#This Row],[Losses]]</f>
        <v>162</v>
      </c>
      <c r="N38" s="2">
        <f>IF(mlb_payrolls[[#This Row],[Games]] &gt;0, mlb_payrolls[[#This Row],[Wins]]/mlb_payrolls[[#This Row],[Games]], "")</f>
        <v>0.45061728395061729</v>
      </c>
      <c r="O38" s="1">
        <f>IFERROR(VALUE(mlb_payrolls[[#This Row],[Total Payroll Allocations]])/VALUE(mlb_payrolls[[#This Row],[Wins]]),"")</f>
        <v>851523.1643835617</v>
      </c>
      <c r="P38" s="1">
        <f>SUM(mlb_payrolls[[#This Row],[Active 26-Man]],mlb_payrolls[[#This Row],[Injured]],mlb_payrolls[[#This Row],[Retained]],mlb_payrolls[[#This Row],[Buried]])</f>
        <v>62161191</v>
      </c>
      <c r="Q38" s="1">
        <f>mlb_payrolls[[#This Row],[Total Payroll Allocations]]-mlb_payrolls[[#This Row],[Payroll Parts Sum]]</f>
        <v>0</v>
      </c>
      <c r="R38" s="2">
        <f>IF(mlb_payrolls[[#This Row],[Total Payroll Allocations]]&gt;0, mlb_payrolls[[#This Row],[Active 26-Man]]/mlb_payrolls[[#This Row],[Total Payroll Allocations]],"")</f>
        <v>0.79574751069360949</v>
      </c>
      <c r="S38" s="2">
        <f>IF(mlb_payrolls[[#This Row],[Total Payroll Allocations]]&gt;0,mlb_payrolls[[#This Row],[Injured]]/mlb_payrolls[[#This Row],[Total Payroll Allocations]])</f>
        <v>4.0502763211213245E-2</v>
      </c>
      <c r="T38" s="3">
        <f>IF(mlb_payrolls[[#This Row],[Total Payroll Allocations]]&gt;0,mlb_payrolls[[#This Row],[Retained]]/mlb_payrolls[[#This Row],[Total Payroll Allocations]])</f>
        <v>0.13350929843026979</v>
      </c>
      <c r="U38" s="3">
        <f>IF(mlb_payrolls[[#This Row],[Total Payroll Allocations]]&gt;0,mlb_payrolls[[#This Row],[Buried]]/mlb_payrolls[[#This Row],[Total Payroll Allocations]])</f>
        <v>3.0240427664907515E-2</v>
      </c>
      <c r="V38">
        <f>IF(mlb_payrolls[[#This Row],[Postseason]]="No Playoffs",0,1)</f>
        <v>0</v>
      </c>
    </row>
    <row r="39" spans="1:22" x14ac:dyDescent="0.3">
      <c r="A39" t="s">
        <v>12</v>
      </c>
      <c r="B39" t="s">
        <v>13</v>
      </c>
      <c r="C39">
        <v>2023</v>
      </c>
      <c r="D39">
        <v>26.1</v>
      </c>
      <c r="E39" s="1">
        <v>62243227</v>
      </c>
      <c r="F39" s="1">
        <v>31196397</v>
      </c>
      <c r="G39" s="1">
        <v>7178987</v>
      </c>
      <c r="H39" s="1">
        <v>16193039</v>
      </c>
      <c r="I39" s="1">
        <v>7674804</v>
      </c>
      <c r="J39">
        <v>50</v>
      </c>
      <c r="K39">
        <v>112</v>
      </c>
      <c r="L39" t="s">
        <v>14</v>
      </c>
      <c r="M39">
        <f>mlb_payrolls[[#This Row],[Wins]] + mlb_payrolls[[#This Row],[Losses]]</f>
        <v>162</v>
      </c>
      <c r="N39" s="2">
        <f>IF(mlb_payrolls[[#This Row],[Games]] &gt;0, mlb_payrolls[[#This Row],[Wins]]/mlb_payrolls[[#This Row],[Games]], "")</f>
        <v>0.30864197530864196</v>
      </c>
      <c r="O39" s="1">
        <f>IFERROR(VALUE(mlb_payrolls[[#This Row],[Total Payroll Allocations]])/VALUE(mlb_payrolls[[#This Row],[Wins]]),"")</f>
        <v>1244864.54</v>
      </c>
      <c r="P39" s="1">
        <f>SUM(mlb_payrolls[[#This Row],[Active 26-Man]],mlb_payrolls[[#This Row],[Injured]],mlb_payrolls[[#This Row],[Retained]],mlb_payrolls[[#This Row],[Buried]])</f>
        <v>62243227</v>
      </c>
      <c r="Q39" s="1">
        <f>mlb_payrolls[[#This Row],[Total Payroll Allocations]]-mlb_payrolls[[#This Row],[Payroll Parts Sum]]</f>
        <v>0</v>
      </c>
      <c r="R39" s="2">
        <f>IF(mlb_payrolls[[#This Row],[Total Payroll Allocations]]&gt;0, mlb_payrolls[[#This Row],[Active 26-Man]]/mlb_payrolls[[#This Row],[Total Payroll Allocations]],"")</f>
        <v>0.50120147208948529</v>
      </c>
      <c r="S39" s="2">
        <f>IF(mlb_payrolls[[#This Row],[Total Payroll Allocations]]&gt;0,mlb_payrolls[[#This Row],[Injured]]/mlb_payrolls[[#This Row],[Total Payroll Allocations]])</f>
        <v>0.11533764147543314</v>
      </c>
      <c r="T39" s="3">
        <f>IF(mlb_payrolls[[#This Row],[Total Payroll Allocations]]&gt;0,mlb_payrolls[[#This Row],[Retained]]/mlb_payrolls[[#This Row],[Total Payroll Allocations]])</f>
        <v>0.26015744652827849</v>
      </c>
      <c r="U39" s="3">
        <f>IF(mlb_payrolls[[#This Row],[Total Payroll Allocations]]&gt;0,mlb_payrolls[[#This Row],[Buried]]/mlb_payrolls[[#This Row],[Total Payroll Allocations]])</f>
        <v>0.12330343990680304</v>
      </c>
      <c r="V39">
        <f>IF(mlb_payrolls[[#This Row],[Postseason]]="No Playoffs",0,1)</f>
        <v>0</v>
      </c>
    </row>
    <row r="40" spans="1:22" x14ac:dyDescent="0.3">
      <c r="A40" t="s">
        <v>17</v>
      </c>
      <c r="B40" t="s">
        <v>18</v>
      </c>
      <c r="C40">
        <v>2016</v>
      </c>
      <c r="D40">
        <v>27.4</v>
      </c>
      <c r="E40" s="1">
        <v>62408549</v>
      </c>
      <c r="F40" s="1">
        <v>36226000</v>
      </c>
      <c r="G40" s="1">
        <v>5226100</v>
      </c>
      <c r="H40" s="1">
        <v>20177348</v>
      </c>
      <c r="I40" s="1">
        <v>779101</v>
      </c>
      <c r="J40">
        <v>68</v>
      </c>
      <c r="K40">
        <v>94</v>
      </c>
      <c r="L40" t="s">
        <v>14</v>
      </c>
      <c r="M40">
        <f>mlb_payrolls[[#This Row],[Wins]] + mlb_payrolls[[#This Row],[Losses]]</f>
        <v>162</v>
      </c>
      <c r="N40" s="2">
        <f>IF(mlb_payrolls[[#This Row],[Games]] &gt;0, mlb_payrolls[[#This Row],[Wins]]/mlb_payrolls[[#This Row],[Games]], "")</f>
        <v>0.41975308641975306</v>
      </c>
      <c r="O40" s="1">
        <f>IFERROR(VALUE(mlb_payrolls[[#This Row],[Total Payroll Allocations]])/VALUE(mlb_payrolls[[#This Row],[Wins]]),"")</f>
        <v>917772.7794117647</v>
      </c>
      <c r="P40" s="1">
        <f>SUM(mlb_payrolls[[#This Row],[Active 26-Man]],mlb_payrolls[[#This Row],[Injured]],mlb_payrolls[[#This Row],[Retained]],mlb_payrolls[[#This Row],[Buried]])</f>
        <v>62408549</v>
      </c>
      <c r="Q40" s="1">
        <f>mlb_payrolls[[#This Row],[Total Payroll Allocations]]-mlb_payrolls[[#This Row],[Payroll Parts Sum]]</f>
        <v>0</v>
      </c>
      <c r="R40" s="2">
        <f>IF(mlb_payrolls[[#This Row],[Total Payroll Allocations]]&gt;0, mlb_payrolls[[#This Row],[Active 26-Man]]/mlb_payrolls[[#This Row],[Total Payroll Allocations]],"")</f>
        <v>0.58046534618197898</v>
      </c>
      <c r="S40" s="2">
        <f>IF(mlb_payrolls[[#This Row],[Total Payroll Allocations]]&gt;0,mlb_payrolls[[#This Row],[Injured]]/mlb_payrolls[[#This Row],[Total Payroll Allocations]])</f>
        <v>8.3740129897908702E-2</v>
      </c>
      <c r="T40" s="3">
        <f>IF(mlb_payrolls[[#This Row],[Total Payroll Allocations]]&gt;0,mlb_payrolls[[#This Row],[Retained]]/mlb_payrolls[[#This Row],[Total Payroll Allocations]])</f>
        <v>0.32331064130332526</v>
      </c>
      <c r="U40" s="3">
        <f>IF(mlb_payrolls[[#This Row],[Total Payroll Allocations]]&gt;0,mlb_payrolls[[#This Row],[Buried]]/mlb_payrolls[[#This Row],[Total Payroll Allocations]])</f>
        <v>1.2483882616787005E-2</v>
      </c>
      <c r="V40">
        <f>IF(mlb_payrolls[[#This Row],[Postseason]]="No Playoffs",0,1)</f>
        <v>0</v>
      </c>
    </row>
    <row r="41" spans="1:22" x14ac:dyDescent="0.3">
      <c r="A41" t="s">
        <v>41</v>
      </c>
      <c r="B41" t="s">
        <v>42</v>
      </c>
      <c r="C41">
        <v>2012</v>
      </c>
      <c r="D41">
        <v>27.5</v>
      </c>
      <c r="E41" s="1">
        <v>63831125</v>
      </c>
      <c r="F41" s="1">
        <v>60053625</v>
      </c>
      <c r="G41" s="1">
        <v>0</v>
      </c>
      <c r="H41" s="1">
        <v>2550000</v>
      </c>
      <c r="I41" s="1">
        <v>1227500</v>
      </c>
      <c r="J41">
        <v>76</v>
      </c>
      <c r="K41">
        <v>86</v>
      </c>
      <c r="L41" t="s">
        <v>14</v>
      </c>
      <c r="M41">
        <f>mlb_payrolls[[#This Row],[Wins]] + mlb_payrolls[[#This Row],[Losses]]</f>
        <v>162</v>
      </c>
      <c r="N41" s="2">
        <f>IF(mlb_payrolls[[#This Row],[Games]] &gt;0, mlb_payrolls[[#This Row],[Wins]]/mlb_payrolls[[#This Row],[Games]], "")</f>
        <v>0.46913580246913578</v>
      </c>
      <c r="O41" s="1">
        <f>IFERROR(VALUE(mlb_payrolls[[#This Row],[Total Payroll Allocations]])/VALUE(mlb_payrolls[[#This Row],[Wins]]),"")</f>
        <v>839883.22368421056</v>
      </c>
      <c r="P41" s="1">
        <f>SUM(mlb_payrolls[[#This Row],[Active 26-Man]],mlb_payrolls[[#This Row],[Injured]],mlb_payrolls[[#This Row],[Retained]],mlb_payrolls[[#This Row],[Buried]])</f>
        <v>63831125</v>
      </c>
      <c r="Q41" s="1">
        <f>mlb_payrolls[[#This Row],[Total Payroll Allocations]]-mlb_payrolls[[#This Row],[Payroll Parts Sum]]</f>
        <v>0</v>
      </c>
      <c r="R41" s="2">
        <f>IF(mlb_payrolls[[#This Row],[Total Payroll Allocations]]&gt;0, mlb_payrolls[[#This Row],[Active 26-Man]]/mlb_payrolls[[#This Row],[Total Payroll Allocations]],"")</f>
        <v>0.94082040697230385</v>
      </c>
      <c r="S41" s="2">
        <f>IF(mlb_payrolls[[#This Row],[Total Payroll Allocations]]&gt;0,mlb_payrolls[[#This Row],[Injured]]/mlb_payrolls[[#This Row],[Total Payroll Allocations]])</f>
        <v>0</v>
      </c>
      <c r="T41" s="3">
        <f>IF(mlb_payrolls[[#This Row],[Total Payroll Allocations]]&gt;0,mlb_payrolls[[#This Row],[Retained]]/mlb_payrolls[[#This Row],[Total Payroll Allocations]])</f>
        <v>3.9949162732131074E-2</v>
      </c>
      <c r="U41" s="3">
        <f>IF(mlb_payrolls[[#This Row],[Total Payroll Allocations]]&gt;0,mlb_payrolls[[#This Row],[Buried]]/mlb_payrolls[[#This Row],[Total Payroll Allocations]])</f>
        <v>1.9230430295565055E-2</v>
      </c>
      <c r="V41">
        <f>IF(mlb_payrolls[[#This Row],[Postseason]]="No Playoffs",0,1)</f>
        <v>0</v>
      </c>
    </row>
    <row r="42" spans="1:22" x14ac:dyDescent="0.3">
      <c r="A42" t="s">
        <v>17</v>
      </c>
      <c r="B42" t="s">
        <v>18</v>
      </c>
      <c r="C42">
        <v>2019</v>
      </c>
      <c r="D42">
        <v>27.3</v>
      </c>
      <c r="E42" s="1">
        <v>64178722</v>
      </c>
      <c r="F42" s="1">
        <v>54345374</v>
      </c>
      <c r="G42" s="1">
        <v>644520</v>
      </c>
      <c r="H42" s="1">
        <v>9084388</v>
      </c>
      <c r="I42" s="1">
        <v>104440</v>
      </c>
      <c r="J42">
        <v>96</v>
      </c>
      <c r="K42">
        <v>66</v>
      </c>
      <c r="L42" t="s">
        <v>21</v>
      </c>
      <c r="M42">
        <f>mlb_payrolls[[#This Row],[Wins]] + mlb_payrolls[[#This Row],[Losses]]</f>
        <v>162</v>
      </c>
      <c r="N42" s="2">
        <f>IF(mlb_payrolls[[#This Row],[Games]] &gt;0, mlb_payrolls[[#This Row],[Wins]]/mlb_payrolls[[#This Row],[Games]], "")</f>
        <v>0.59259259259259256</v>
      </c>
      <c r="O42" s="1">
        <f>IFERROR(VALUE(mlb_payrolls[[#This Row],[Total Payroll Allocations]])/VALUE(mlb_payrolls[[#This Row],[Wins]]),"")</f>
        <v>668528.35416666663</v>
      </c>
      <c r="P42" s="1">
        <f>SUM(mlb_payrolls[[#This Row],[Active 26-Man]],mlb_payrolls[[#This Row],[Injured]],mlb_payrolls[[#This Row],[Retained]],mlb_payrolls[[#This Row],[Buried]])</f>
        <v>64178722</v>
      </c>
      <c r="Q42" s="1">
        <f>mlb_payrolls[[#This Row],[Total Payroll Allocations]]-mlb_payrolls[[#This Row],[Payroll Parts Sum]]</f>
        <v>0</v>
      </c>
      <c r="R42" s="2">
        <f>IF(mlb_payrolls[[#This Row],[Total Payroll Allocations]]&gt;0, mlb_payrolls[[#This Row],[Active 26-Man]]/mlb_payrolls[[#This Row],[Total Payroll Allocations]],"")</f>
        <v>0.84678180410011905</v>
      </c>
      <c r="S42" s="2">
        <f>IF(mlb_payrolls[[#This Row],[Total Payroll Allocations]]&gt;0,mlb_payrolls[[#This Row],[Injured]]/mlb_payrolls[[#This Row],[Total Payroll Allocations]])</f>
        <v>1.0042580779343035E-2</v>
      </c>
      <c r="T42" s="3">
        <f>IF(mlb_payrolls[[#This Row],[Total Payroll Allocations]]&gt;0,mlb_payrolls[[#This Row],[Retained]]/mlb_payrolls[[#This Row],[Total Payroll Allocations]])</f>
        <v>0.14154828449217172</v>
      </c>
      <c r="U42" s="3">
        <f>IF(mlb_payrolls[[#This Row],[Total Payroll Allocations]]&gt;0,mlb_payrolls[[#This Row],[Buried]]/mlb_payrolls[[#This Row],[Total Payroll Allocations]])</f>
        <v>1.6273306283662052E-3</v>
      </c>
      <c r="V42">
        <f>IF(mlb_payrolls[[#This Row],[Postseason]]="No Playoffs",0,1)</f>
        <v>1</v>
      </c>
    </row>
    <row r="43" spans="1:22" x14ac:dyDescent="0.3">
      <c r="A43" t="s">
        <v>43</v>
      </c>
      <c r="B43" t="s">
        <v>44</v>
      </c>
      <c r="C43">
        <v>2011</v>
      </c>
      <c r="D43">
        <v>28.5</v>
      </c>
      <c r="E43" s="1">
        <v>64297970</v>
      </c>
      <c r="F43" s="1">
        <v>56498519</v>
      </c>
      <c r="G43" s="1">
        <v>0</v>
      </c>
      <c r="H43" s="1">
        <v>6899451</v>
      </c>
      <c r="I43" s="1">
        <v>900000</v>
      </c>
      <c r="J43">
        <v>94</v>
      </c>
      <c r="K43">
        <v>68</v>
      </c>
      <c r="L43" t="s">
        <v>24</v>
      </c>
      <c r="M43">
        <f>mlb_payrolls[[#This Row],[Wins]] + mlb_payrolls[[#This Row],[Losses]]</f>
        <v>162</v>
      </c>
      <c r="N43" s="2">
        <f>IF(mlb_payrolls[[#This Row],[Games]] &gt;0, mlb_payrolls[[#This Row],[Wins]]/mlb_payrolls[[#This Row],[Games]], "")</f>
        <v>0.58024691358024694</v>
      </c>
      <c r="O43" s="1">
        <f>IFERROR(VALUE(mlb_payrolls[[#This Row],[Total Payroll Allocations]])/VALUE(mlb_payrolls[[#This Row],[Wins]]),"")</f>
        <v>684020.95744680846</v>
      </c>
      <c r="P43" s="1">
        <f>SUM(mlb_payrolls[[#This Row],[Active 26-Man]],mlb_payrolls[[#This Row],[Injured]],mlb_payrolls[[#This Row],[Retained]],mlb_payrolls[[#This Row],[Buried]])</f>
        <v>64297970</v>
      </c>
      <c r="Q43" s="1">
        <f>mlb_payrolls[[#This Row],[Total Payroll Allocations]]-mlb_payrolls[[#This Row],[Payroll Parts Sum]]</f>
        <v>0</v>
      </c>
      <c r="R43" s="2">
        <f>IF(mlb_payrolls[[#This Row],[Total Payroll Allocations]]&gt;0, mlb_payrolls[[#This Row],[Active 26-Man]]/mlb_payrolls[[#This Row],[Total Payroll Allocations]],"")</f>
        <v>0.878698332155743</v>
      </c>
      <c r="S43" s="2">
        <f>IF(mlb_payrolls[[#This Row],[Total Payroll Allocations]]&gt;0,mlb_payrolls[[#This Row],[Injured]]/mlb_payrolls[[#This Row],[Total Payroll Allocations]])</f>
        <v>0</v>
      </c>
      <c r="T43" s="3">
        <f>IF(mlb_payrolls[[#This Row],[Total Payroll Allocations]]&gt;0,mlb_payrolls[[#This Row],[Retained]]/mlb_payrolls[[#This Row],[Total Payroll Allocations]])</f>
        <v>0.10730433635774193</v>
      </c>
      <c r="U43" s="3">
        <f>IF(mlb_payrolls[[#This Row],[Total Payroll Allocations]]&gt;0,mlb_payrolls[[#This Row],[Buried]]/mlb_payrolls[[#This Row],[Total Payroll Allocations]])</f>
        <v>1.3997331486515049E-2</v>
      </c>
      <c r="V43">
        <f>IF(mlb_payrolls[[#This Row],[Postseason]]="No Playoffs",0,1)</f>
        <v>1</v>
      </c>
    </row>
    <row r="44" spans="1:22" x14ac:dyDescent="0.3">
      <c r="A44" t="s">
        <v>27</v>
      </c>
      <c r="B44" t="s">
        <v>28</v>
      </c>
      <c r="C44">
        <v>2017</v>
      </c>
      <c r="D44">
        <v>28</v>
      </c>
      <c r="E44" s="1">
        <v>64576736</v>
      </c>
      <c r="F44" s="1">
        <v>57578930</v>
      </c>
      <c r="G44" s="1">
        <v>547000</v>
      </c>
      <c r="H44" s="1">
        <v>6033614</v>
      </c>
      <c r="I44" s="1">
        <v>417192</v>
      </c>
      <c r="J44">
        <v>86</v>
      </c>
      <c r="K44">
        <v>76</v>
      </c>
      <c r="L44" t="s">
        <v>14</v>
      </c>
      <c r="M44">
        <f>mlb_payrolls[[#This Row],[Wins]] + mlb_payrolls[[#This Row],[Losses]]</f>
        <v>162</v>
      </c>
      <c r="N44" s="2">
        <f>IF(mlb_payrolls[[#This Row],[Games]] &gt;0, mlb_payrolls[[#This Row],[Wins]]/mlb_payrolls[[#This Row],[Games]], "")</f>
        <v>0.53086419753086422</v>
      </c>
      <c r="O44" s="1">
        <f>IFERROR(VALUE(mlb_payrolls[[#This Row],[Total Payroll Allocations]])/VALUE(mlb_payrolls[[#This Row],[Wins]]),"")</f>
        <v>750892.27906976745</v>
      </c>
      <c r="P44" s="1">
        <f>SUM(mlb_payrolls[[#This Row],[Active 26-Man]],mlb_payrolls[[#This Row],[Injured]],mlb_payrolls[[#This Row],[Retained]],mlb_payrolls[[#This Row],[Buried]])</f>
        <v>64576736</v>
      </c>
      <c r="Q44" s="1">
        <f>mlb_payrolls[[#This Row],[Total Payroll Allocations]]-mlb_payrolls[[#This Row],[Payroll Parts Sum]]</f>
        <v>0</v>
      </c>
      <c r="R44" s="2">
        <f>IF(mlb_payrolls[[#This Row],[Total Payroll Allocations]]&gt;0, mlb_payrolls[[#This Row],[Active 26-Man]]/mlb_payrolls[[#This Row],[Total Payroll Allocations]],"")</f>
        <v>0.89163580519151664</v>
      </c>
      <c r="S44" s="2">
        <f>IF(mlb_payrolls[[#This Row],[Total Payroll Allocations]]&gt;0,mlb_payrolls[[#This Row],[Injured]]/mlb_payrolls[[#This Row],[Total Payroll Allocations]])</f>
        <v>8.4705427044191265E-3</v>
      </c>
      <c r="T44" s="3">
        <f>IF(mlb_payrolls[[#This Row],[Total Payroll Allocations]]&gt;0,mlb_payrolls[[#This Row],[Retained]]/mlb_payrolls[[#This Row],[Total Payroll Allocations]])</f>
        <v>9.343324506212268E-2</v>
      </c>
      <c r="U44" s="3">
        <f>IF(mlb_payrolls[[#This Row],[Total Payroll Allocations]]&gt;0,mlb_payrolls[[#This Row],[Buried]]/mlb_payrolls[[#This Row],[Total Payroll Allocations]])</f>
        <v>6.4604070419415436E-3</v>
      </c>
      <c r="V44">
        <f>IF(mlb_payrolls[[#This Row],[Postseason]]="No Playoffs",0,1)</f>
        <v>0</v>
      </c>
    </row>
    <row r="45" spans="1:22" x14ac:dyDescent="0.3">
      <c r="A45" t="s">
        <v>35</v>
      </c>
      <c r="B45" t="s">
        <v>36</v>
      </c>
      <c r="C45">
        <v>2011</v>
      </c>
      <c r="D45">
        <v>27.2</v>
      </c>
      <c r="E45" s="1">
        <v>65006851</v>
      </c>
      <c r="F45" s="1">
        <v>63006851</v>
      </c>
      <c r="G45" s="1">
        <v>0</v>
      </c>
      <c r="H45" s="1">
        <v>2000000</v>
      </c>
      <c r="I45" s="1">
        <v>0</v>
      </c>
      <c r="J45">
        <v>72</v>
      </c>
      <c r="K45">
        <v>90</v>
      </c>
      <c r="L45" t="s">
        <v>14</v>
      </c>
      <c r="M45">
        <f>mlb_payrolls[[#This Row],[Wins]] + mlb_payrolls[[#This Row],[Losses]]</f>
        <v>162</v>
      </c>
      <c r="N45" s="2">
        <f>IF(mlb_payrolls[[#This Row],[Games]] &gt;0, mlb_payrolls[[#This Row],[Wins]]/mlb_payrolls[[#This Row],[Games]], "")</f>
        <v>0.44444444444444442</v>
      </c>
      <c r="O45" s="1">
        <f>IFERROR(VALUE(mlb_payrolls[[#This Row],[Total Payroll Allocations]])/VALUE(mlb_payrolls[[#This Row],[Wins]]),"")</f>
        <v>902872.9305555555</v>
      </c>
      <c r="P45" s="1">
        <f>SUM(mlb_payrolls[[#This Row],[Active 26-Man]],mlb_payrolls[[#This Row],[Injured]],mlb_payrolls[[#This Row],[Retained]],mlb_payrolls[[#This Row],[Buried]])</f>
        <v>65006851</v>
      </c>
      <c r="Q45" s="1">
        <f>mlb_payrolls[[#This Row],[Total Payroll Allocations]]-mlb_payrolls[[#This Row],[Payroll Parts Sum]]</f>
        <v>0</v>
      </c>
      <c r="R45" s="2">
        <f>IF(mlb_payrolls[[#This Row],[Total Payroll Allocations]]&gt;0, mlb_payrolls[[#This Row],[Active 26-Man]]/mlb_payrolls[[#This Row],[Total Payroll Allocations]],"")</f>
        <v>0.96923401196590797</v>
      </c>
      <c r="S45" s="2">
        <f>IF(mlb_payrolls[[#This Row],[Total Payroll Allocations]]&gt;0,mlb_payrolls[[#This Row],[Injured]]/mlb_payrolls[[#This Row],[Total Payroll Allocations]])</f>
        <v>0</v>
      </c>
      <c r="T45" s="3">
        <f>IF(mlb_payrolls[[#This Row],[Total Payroll Allocations]]&gt;0,mlb_payrolls[[#This Row],[Retained]]/mlb_payrolls[[#This Row],[Total Payroll Allocations]])</f>
        <v>3.0765988034091977E-2</v>
      </c>
      <c r="U45" s="3">
        <f>IF(mlb_payrolls[[#This Row],[Total Payroll Allocations]]&gt;0,mlb_payrolls[[#This Row],[Buried]]/mlb_payrolls[[#This Row],[Total Payroll Allocations]])</f>
        <v>0</v>
      </c>
      <c r="V45">
        <f>IF(mlb_payrolls[[#This Row],[Postseason]]="No Playoffs",0,1)</f>
        <v>0</v>
      </c>
    </row>
    <row r="46" spans="1:22" x14ac:dyDescent="0.3">
      <c r="A46" t="s">
        <v>43</v>
      </c>
      <c r="B46" t="s">
        <v>44</v>
      </c>
      <c r="C46">
        <v>2020</v>
      </c>
      <c r="D46">
        <v>28.1</v>
      </c>
      <c r="E46" s="1">
        <v>65598752</v>
      </c>
      <c r="F46" s="1">
        <v>20283697</v>
      </c>
      <c r="G46" s="1">
        <v>1589593</v>
      </c>
      <c r="H46" s="1">
        <v>40016446</v>
      </c>
      <c r="I46" s="1">
        <v>500312</v>
      </c>
      <c r="J46">
        <v>25</v>
      </c>
      <c r="K46">
        <v>35</v>
      </c>
      <c r="L46" t="s">
        <v>14</v>
      </c>
      <c r="M46">
        <f>mlb_payrolls[[#This Row],[Wins]] + mlb_payrolls[[#This Row],[Losses]]</f>
        <v>60</v>
      </c>
      <c r="N46" s="2">
        <f>IF(mlb_payrolls[[#This Row],[Games]] &gt;0, mlb_payrolls[[#This Row],[Wins]]/mlb_payrolls[[#This Row],[Games]], "")</f>
        <v>0.41666666666666669</v>
      </c>
      <c r="O46" s="1">
        <f>IFERROR(VALUE(mlb_payrolls[[#This Row],[Total Payroll Allocations]])/VALUE(mlb_payrolls[[#This Row],[Wins]]),"")</f>
        <v>2623950.08</v>
      </c>
      <c r="P46" s="1">
        <f>SUM(mlb_payrolls[[#This Row],[Active 26-Man]],mlb_payrolls[[#This Row],[Injured]],mlb_payrolls[[#This Row],[Retained]],mlb_payrolls[[#This Row],[Buried]])</f>
        <v>62390048</v>
      </c>
      <c r="Q46" s="1">
        <f>mlb_payrolls[[#This Row],[Total Payroll Allocations]]-mlb_payrolls[[#This Row],[Payroll Parts Sum]]</f>
        <v>3208704</v>
      </c>
      <c r="R46" s="2">
        <f>IF(mlb_payrolls[[#This Row],[Total Payroll Allocations]]&gt;0, mlb_payrolls[[#This Row],[Active 26-Man]]/mlb_payrolls[[#This Row],[Total Payroll Allocations]],"")</f>
        <v>0.30920858067543722</v>
      </c>
      <c r="S46" s="2">
        <f>IF(mlb_payrolls[[#This Row],[Total Payroll Allocations]]&gt;0,mlb_payrolls[[#This Row],[Injured]]/mlb_payrolls[[#This Row],[Total Payroll Allocations]])</f>
        <v>2.4232061609952581E-2</v>
      </c>
      <c r="T46" s="3">
        <f>IF(mlb_payrolls[[#This Row],[Total Payroll Allocations]]&gt;0,mlb_payrolls[[#This Row],[Retained]]/mlb_payrolls[[#This Row],[Total Payroll Allocations]])</f>
        <v>0.61001840400866159</v>
      </c>
      <c r="U46" s="3">
        <f>IF(mlb_payrolls[[#This Row],[Total Payroll Allocations]]&gt;0,mlb_payrolls[[#This Row],[Buried]]/mlb_payrolls[[#This Row],[Total Payroll Allocations]])</f>
        <v>7.6268524132898138E-3</v>
      </c>
      <c r="V46">
        <f>IF(mlb_payrolls[[#This Row],[Postseason]]="No Playoffs",0,1)</f>
        <v>0</v>
      </c>
    </row>
    <row r="47" spans="1:22" x14ac:dyDescent="0.3">
      <c r="A47" t="s">
        <v>22</v>
      </c>
      <c r="B47" t="s">
        <v>23</v>
      </c>
      <c r="C47">
        <v>2022</v>
      </c>
      <c r="D47">
        <v>25.6</v>
      </c>
      <c r="E47" s="1">
        <v>66477492</v>
      </c>
      <c r="F47" s="1">
        <v>56507878</v>
      </c>
      <c r="G47" s="1">
        <v>702900</v>
      </c>
      <c r="H47" s="1">
        <v>4619812</v>
      </c>
      <c r="I47" s="1">
        <v>4646902</v>
      </c>
      <c r="J47">
        <v>92</v>
      </c>
      <c r="K47">
        <v>70</v>
      </c>
      <c r="L47" t="s">
        <v>24</v>
      </c>
      <c r="M47">
        <f>mlb_payrolls[[#This Row],[Wins]] + mlb_payrolls[[#This Row],[Losses]]</f>
        <v>162</v>
      </c>
      <c r="N47" s="2">
        <f>IF(mlb_payrolls[[#This Row],[Games]] &gt;0, mlb_payrolls[[#This Row],[Wins]]/mlb_payrolls[[#This Row],[Games]], "")</f>
        <v>0.5679012345679012</v>
      </c>
      <c r="O47" s="1">
        <f>IFERROR(VALUE(mlb_payrolls[[#This Row],[Total Payroll Allocations]])/VALUE(mlb_payrolls[[#This Row],[Wins]]),"")</f>
        <v>722581.43478260865</v>
      </c>
      <c r="P47" s="1">
        <f>SUM(mlb_payrolls[[#This Row],[Active 26-Man]],mlb_payrolls[[#This Row],[Injured]],mlb_payrolls[[#This Row],[Retained]],mlb_payrolls[[#This Row],[Buried]])</f>
        <v>66477492</v>
      </c>
      <c r="Q47" s="1">
        <f>mlb_payrolls[[#This Row],[Total Payroll Allocations]]-mlb_payrolls[[#This Row],[Payroll Parts Sum]]</f>
        <v>0</v>
      </c>
      <c r="R47" s="2">
        <f>IF(mlb_payrolls[[#This Row],[Total Payroll Allocations]]&gt;0, mlb_payrolls[[#This Row],[Active 26-Man]]/mlb_payrolls[[#This Row],[Total Payroll Allocations]],"")</f>
        <v>0.85003023278916723</v>
      </c>
      <c r="S47" s="2">
        <f>IF(mlb_payrolls[[#This Row],[Total Payroll Allocations]]&gt;0,mlb_payrolls[[#This Row],[Injured]]/mlb_payrolls[[#This Row],[Total Payroll Allocations]])</f>
        <v>1.0573503585243558E-2</v>
      </c>
      <c r="T47" s="3">
        <f>IF(mlb_payrolls[[#This Row],[Total Payroll Allocations]]&gt;0,mlb_payrolls[[#This Row],[Retained]]/mlb_payrolls[[#This Row],[Total Payroll Allocations]])</f>
        <v>6.9494378638712787E-2</v>
      </c>
      <c r="U47" s="3">
        <f>IF(mlb_payrolls[[#This Row],[Total Payroll Allocations]]&gt;0,mlb_payrolls[[#This Row],[Buried]]/mlb_payrolls[[#This Row],[Total Payroll Allocations]])</f>
        <v>6.9901884986876467E-2</v>
      </c>
      <c r="V47">
        <f>IF(mlb_payrolls[[#This Row],[Postseason]]="No Playoffs",0,1)</f>
        <v>1</v>
      </c>
    </row>
    <row r="48" spans="1:22" x14ac:dyDescent="0.3">
      <c r="A48" t="s">
        <v>59</v>
      </c>
      <c r="B48" t="s">
        <v>60</v>
      </c>
      <c r="C48">
        <v>2020</v>
      </c>
      <c r="D48">
        <v>28</v>
      </c>
      <c r="E48" s="1">
        <v>67040893</v>
      </c>
      <c r="F48" s="1">
        <v>56821306</v>
      </c>
      <c r="G48" s="1">
        <v>509650</v>
      </c>
      <c r="H48" s="1">
        <v>4356290</v>
      </c>
      <c r="I48" s="1">
        <v>596339</v>
      </c>
      <c r="J48">
        <v>26</v>
      </c>
      <c r="K48">
        <v>34</v>
      </c>
      <c r="L48" t="s">
        <v>14</v>
      </c>
      <c r="M48">
        <f>mlb_payrolls[[#This Row],[Wins]] + mlb_payrolls[[#This Row],[Losses]]</f>
        <v>60</v>
      </c>
      <c r="N48" s="2">
        <f>IF(mlb_payrolls[[#This Row],[Games]] &gt;0, mlb_payrolls[[#This Row],[Wins]]/mlb_payrolls[[#This Row],[Games]], "")</f>
        <v>0.43333333333333335</v>
      </c>
      <c r="O48" s="1">
        <f>IFERROR(VALUE(mlb_payrolls[[#This Row],[Total Payroll Allocations]])/VALUE(mlb_payrolls[[#This Row],[Wins]]),"")</f>
        <v>2578495.8846153845</v>
      </c>
      <c r="P48" s="1">
        <f>SUM(mlb_payrolls[[#This Row],[Active 26-Man]],mlb_payrolls[[#This Row],[Injured]],mlb_payrolls[[#This Row],[Retained]],mlb_payrolls[[#This Row],[Buried]])</f>
        <v>62283585</v>
      </c>
      <c r="Q48" s="1">
        <f>mlb_payrolls[[#This Row],[Total Payroll Allocations]]-mlb_payrolls[[#This Row],[Payroll Parts Sum]]</f>
        <v>4757308</v>
      </c>
      <c r="R48" s="2">
        <f>IF(mlb_payrolls[[#This Row],[Total Payroll Allocations]]&gt;0, mlb_payrolls[[#This Row],[Active 26-Man]]/mlb_payrolls[[#This Row],[Total Payroll Allocations]],"")</f>
        <v>0.84756189032267215</v>
      </c>
      <c r="S48" s="2">
        <f>IF(mlb_payrolls[[#This Row],[Total Payroll Allocations]]&gt;0,mlb_payrolls[[#This Row],[Injured]]/mlb_payrolls[[#This Row],[Total Payroll Allocations]])</f>
        <v>7.6020765415520343E-3</v>
      </c>
      <c r="T48" s="3">
        <f>IF(mlb_payrolls[[#This Row],[Total Payroll Allocations]]&gt;0,mlb_payrolls[[#This Row],[Retained]]/mlb_payrolls[[#This Row],[Total Payroll Allocations]])</f>
        <v>6.4979593872653216E-2</v>
      </c>
      <c r="U48" s="3">
        <f>IF(mlb_payrolls[[#This Row],[Total Payroll Allocations]]&gt;0,mlb_payrolls[[#This Row],[Buried]]/mlb_payrolls[[#This Row],[Total Payroll Allocations]])</f>
        <v>8.89515299266673E-3</v>
      </c>
      <c r="V48">
        <f>IF(mlb_payrolls[[#This Row],[Postseason]]="No Playoffs",0,1)</f>
        <v>0</v>
      </c>
    </row>
    <row r="49" spans="1:22" x14ac:dyDescent="0.3">
      <c r="A49" t="s">
        <v>12</v>
      </c>
      <c r="B49" t="s">
        <v>13</v>
      </c>
      <c r="C49">
        <v>2013</v>
      </c>
      <c r="D49">
        <v>28</v>
      </c>
      <c r="E49" s="1">
        <v>67055517</v>
      </c>
      <c r="F49" s="1">
        <v>65065572</v>
      </c>
      <c r="G49" s="1">
        <v>0</v>
      </c>
      <c r="H49" s="1">
        <v>1984590</v>
      </c>
      <c r="I49" s="1">
        <v>5355</v>
      </c>
      <c r="J49">
        <v>96</v>
      </c>
      <c r="K49">
        <v>66</v>
      </c>
      <c r="L49" t="s">
        <v>24</v>
      </c>
      <c r="M49">
        <f>mlb_payrolls[[#This Row],[Wins]] + mlb_payrolls[[#This Row],[Losses]]</f>
        <v>162</v>
      </c>
      <c r="N49" s="2">
        <f>IF(mlb_payrolls[[#This Row],[Games]] &gt;0, mlb_payrolls[[#This Row],[Wins]]/mlb_payrolls[[#This Row],[Games]], "")</f>
        <v>0.59259259259259256</v>
      </c>
      <c r="O49" s="1">
        <f>IFERROR(VALUE(mlb_payrolls[[#This Row],[Total Payroll Allocations]])/VALUE(mlb_payrolls[[#This Row],[Wins]]),"")</f>
        <v>698494.96875</v>
      </c>
      <c r="P49" s="1">
        <f>SUM(mlb_payrolls[[#This Row],[Active 26-Man]],mlb_payrolls[[#This Row],[Injured]],mlb_payrolls[[#This Row],[Retained]],mlb_payrolls[[#This Row],[Buried]])</f>
        <v>67055517</v>
      </c>
      <c r="Q49" s="1">
        <f>mlb_payrolls[[#This Row],[Total Payroll Allocations]]-mlb_payrolls[[#This Row],[Payroll Parts Sum]]</f>
        <v>0</v>
      </c>
      <c r="R49" s="2">
        <f>IF(mlb_payrolls[[#This Row],[Total Payroll Allocations]]&gt;0, mlb_payrolls[[#This Row],[Active 26-Man]]/mlb_payrolls[[#This Row],[Total Payroll Allocations]],"")</f>
        <v>0.97032391831383535</v>
      </c>
      <c r="S49" s="2">
        <f>IF(mlb_payrolls[[#This Row],[Total Payroll Allocations]]&gt;0,mlb_payrolls[[#This Row],[Injured]]/mlb_payrolls[[#This Row],[Total Payroll Allocations]])</f>
        <v>0</v>
      </c>
      <c r="T49" s="3">
        <f>IF(mlb_payrolls[[#This Row],[Total Payroll Allocations]]&gt;0,mlb_payrolls[[#This Row],[Retained]]/mlb_payrolls[[#This Row],[Total Payroll Allocations]])</f>
        <v>2.9596222485317653E-2</v>
      </c>
      <c r="U49" s="3">
        <f>IF(mlb_payrolls[[#This Row],[Total Payroll Allocations]]&gt;0,mlb_payrolls[[#This Row],[Buried]]/mlb_payrolls[[#This Row],[Total Payroll Allocations]])</f>
        <v>7.9859200846963866E-5</v>
      </c>
      <c r="V49">
        <f>IF(mlb_payrolls[[#This Row],[Postseason]]="No Playoffs",0,1)</f>
        <v>1</v>
      </c>
    </row>
    <row r="50" spans="1:22" x14ac:dyDescent="0.3">
      <c r="A50" t="s">
        <v>41</v>
      </c>
      <c r="B50" t="s">
        <v>42</v>
      </c>
      <c r="C50">
        <v>2013</v>
      </c>
      <c r="D50">
        <v>27.5</v>
      </c>
      <c r="E50" s="1">
        <v>67649701</v>
      </c>
      <c r="F50" s="1">
        <v>64220894</v>
      </c>
      <c r="G50" s="1">
        <v>0</v>
      </c>
      <c r="H50" s="1">
        <v>3238561</v>
      </c>
      <c r="I50" s="1">
        <v>190246</v>
      </c>
      <c r="J50">
        <v>76</v>
      </c>
      <c r="K50">
        <v>86</v>
      </c>
      <c r="L50" t="s">
        <v>14</v>
      </c>
      <c r="M50">
        <f>mlb_payrolls[[#This Row],[Wins]] + mlb_payrolls[[#This Row],[Losses]]</f>
        <v>162</v>
      </c>
      <c r="N50" s="2">
        <f>IF(mlb_payrolls[[#This Row],[Games]] &gt;0, mlb_payrolls[[#This Row],[Wins]]/mlb_payrolls[[#This Row],[Games]], "")</f>
        <v>0.46913580246913578</v>
      </c>
      <c r="O50" s="1">
        <f>IFERROR(VALUE(mlb_payrolls[[#This Row],[Total Payroll Allocations]])/VALUE(mlb_payrolls[[#This Row],[Wins]]),"")</f>
        <v>890127.64473684214</v>
      </c>
      <c r="P50" s="1">
        <f>SUM(mlb_payrolls[[#This Row],[Active 26-Man]],mlb_payrolls[[#This Row],[Injured]],mlb_payrolls[[#This Row],[Retained]],mlb_payrolls[[#This Row],[Buried]])</f>
        <v>67649701</v>
      </c>
      <c r="Q50" s="1">
        <f>mlb_payrolls[[#This Row],[Total Payroll Allocations]]-mlb_payrolls[[#This Row],[Payroll Parts Sum]]</f>
        <v>0</v>
      </c>
      <c r="R50" s="2">
        <f>IF(mlb_payrolls[[#This Row],[Total Payroll Allocations]]&gt;0, mlb_payrolls[[#This Row],[Active 26-Man]]/mlb_payrolls[[#This Row],[Total Payroll Allocations]],"")</f>
        <v>0.94931526748359174</v>
      </c>
      <c r="S50" s="2">
        <f>IF(mlb_payrolls[[#This Row],[Total Payroll Allocations]]&gt;0,mlb_payrolls[[#This Row],[Injured]]/mlb_payrolls[[#This Row],[Total Payroll Allocations]])</f>
        <v>0</v>
      </c>
      <c r="T50" s="3">
        <f>IF(mlb_payrolls[[#This Row],[Total Payroll Allocations]]&gt;0,mlb_payrolls[[#This Row],[Retained]]/mlb_payrolls[[#This Row],[Total Payroll Allocations]])</f>
        <v>4.7872510183008789E-2</v>
      </c>
      <c r="U50" s="3">
        <f>IF(mlb_payrolls[[#This Row],[Total Payroll Allocations]]&gt;0,mlb_payrolls[[#This Row],[Buried]]/mlb_payrolls[[#This Row],[Total Payroll Allocations]])</f>
        <v>2.8122223333995225E-3</v>
      </c>
      <c r="V50">
        <f>IF(mlb_payrolls[[#This Row],[Postseason]]="No Playoffs",0,1)</f>
        <v>0</v>
      </c>
    </row>
    <row r="51" spans="1:22" x14ac:dyDescent="0.3">
      <c r="A51" t="s">
        <v>49</v>
      </c>
      <c r="B51" t="s">
        <v>50</v>
      </c>
      <c r="C51">
        <v>2020</v>
      </c>
      <c r="D51">
        <v>28.4</v>
      </c>
      <c r="E51" s="1">
        <v>67808533</v>
      </c>
      <c r="F51" s="1">
        <v>23940328</v>
      </c>
      <c r="G51" s="1">
        <v>17205744</v>
      </c>
      <c r="H51" s="1">
        <v>30851852</v>
      </c>
      <c r="I51" s="1">
        <v>958757</v>
      </c>
      <c r="J51">
        <v>26</v>
      </c>
      <c r="K51">
        <v>34</v>
      </c>
      <c r="L51" t="s">
        <v>14</v>
      </c>
      <c r="M51">
        <f>mlb_payrolls[[#This Row],[Wins]] + mlb_payrolls[[#This Row],[Losses]]</f>
        <v>60</v>
      </c>
      <c r="N51" s="2">
        <f>IF(mlb_payrolls[[#This Row],[Games]] &gt;0, mlb_payrolls[[#This Row],[Wins]]/mlb_payrolls[[#This Row],[Games]], "")</f>
        <v>0.43333333333333335</v>
      </c>
      <c r="O51" s="1">
        <f>IFERROR(VALUE(mlb_payrolls[[#This Row],[Total Payroll Allocations]])/VALUE(mlb_payrolls[[#This Row],[Wins]]),"")</f>
        <v>2608020.5</v>
      </c>
      <c r="P51" s="1">
        <f>SUM(mlb_payrolls[[#This Row],[Active 26-Man]],mlb_payrolls[[#This Row],[Injured]],mlb_payrolls[[#This Row],[Retained]],mlb_payrolls[[#This Row],[Buried]])</f>
        <v>72956681</v>
      </c>
      <c r="Q51" s="1">
        <f>mlb_payrolls[[#This Row],[Total Payroll Allocations]]-mlb_payrolls[[#This Row],[Payroll Parts Sum]]</f>
        <v>-5148148</v>
      </c>
      <c r="R51" s="2">
        <f>IF(mlb_payrolls[[#This Row],[Total Payroll Allocations]]&gt;0, mlb_payrolls[[#This Row],[Active 26-Man]]/mlb_payrolls[[#This Row],[Total Payroll Allocations]],"")</f>
        <v>0.35305774864647199</v>
      </c>
      <c r="S51" s="2">
        <f>IF(mlb_payrolls[[#This Row],[Total Payroll Allocations]]&gt;0,mlb_payrolls[[#This Row],[Injured]]/mlb_payrolls[[#This Row],[Total Payroll Allocations]])</f>
        <v>0.2537401008218243</v>
      </c>
      <c r="T51" s="3">
        <f>IF(mlb_payrolls[[#This Row],[Total Payroll Allocations]]&gt;0,mlb_payrolls[[#This Row],[Retained]]/mlb_payrolls[[#This Row],[Total Payroll Allocations]])</f>
        <v>0.45498480257639551</v>
      </c>
      <c r="U51" s="3">
        <f>IF(mlb_payrolls[[#This Row],[Total Payroll Allocations]]&gt;0,mlb_payrolls[[#This Row],[Buried]]/mlb_payrolls[[#This Row],[Total Payroll Allocations]])</f>
        <v>1.4139179209200707E-2</v>
      </c>
      <c r="V51">
        <f>IF(mlb_payrolls[[#This Row],[Postseason]]="No Playoffs",0,1)</f>
        <v>0</v>
      </c>
    </row>
    <row r="52" spans="1:22" x14ac:dyDescent="0.3">
      <c r="A52" t="s">
        <v>17</v>
      </c>
      <c r="B52" t="s">
        <v>18</v>
      </c>
      <c r="C52">
        <v>2012</v>
      </c>
      <c r="D52">
        <v>28.6</v>
      </c>
      <c r="E52" s="1">
        <v>68144135</v>
      </c>
      <c r="F52" s="1">
        <v>67844135</v>
      </c>
      <c r="G52" s="1">
        <v>0</v>
      </c>
      <c r="H52" s="1">
        <v>300000</v>
      </c>
      <c r="I52" s="1">
        <v>0</v>
      </c>
      <c r="J52">
        <v>90</v>
      </c>
      <c r="K52">
        <v>72</v>
      </c>
      <c r="L52" t="s">
        <v>14</v>
      </c>
      <c r="M52">
        <f>mlb_payrolls[[#This Row],[Wins]] + mlb_payrolls[[#This Row],[Losses]]</f>
        <v>162</v>
      </c>
      <c r="N52" s="2">
        <f>IF(mlb_payrolls[[#This Row],[Games]] &gt;0, mlb_payrolls[[#This Row],[Wins]]/mlb_payrolls[[#This Row],[Games]], "")</f>
        <v>0.55555555555555558</v>
      </c>
      <c r="O52" s="1">
        <f>IFERROR(VALUE(mlb_payrolls[[#This Row],[Total Payroll Allocations]])/VALUE(mlb_payrolls[[#This Row],[Wins]]),"")</f>
        <v>757157.0555555555</v>
      </c>
      <c r="P52" s="1">
        <f>SUM(mlb_payrolls[[#This Row],[Active 26-Man]],mlb_payrolls[[#This Row],[Injured]],mlb_payrolls[[#This Row],[Retained]],mlb_payrolls[[#This Row],[Buried]])</f>
        <v>68144135</v>
      </c>
      <c r="Q52" s="1">
        <f>mlb_payrolls[[#This Row],[Total Payroll Allocations]]-mlb_payrolls[[#This Row],[Payroll Parts Sum]]</f>
        <v>0</v>
      </c>
      <c r="R52" s="2">
        <f>IF(mlb_payrolls[[#This Row],[Total Payroll Allocations]]&gt;0, mlb_payrolls[[#This Row],[Active 26-Man]]/mlb_payrolls[[#This Row],[Total Payroll Allocations]],"")</f>
        <v>0.99559756683388823</v>
      </c>
      <c r="S52" s="2">
        <f>IF(mlb_payrolls[[#This Row],[Total Payroll Allocations]]&gt;0,mlb_payrolls[[#This Row],[Injured]]/mlb_payrolls[[#This Row],[Total Payroll Allocations]])</f>
        <v>0</v>
      </c>
      <c r="T52" s="3">
        <f>IF(mlb_payrolls[[#This Row],[Total Payroll Allocations]]&gt;0,mlb_payrolls[[#This Row],[Retained]]/mlb_payrolls[[#This Row],[Total Payroll Allocations]])</f>
        <v>4.4024331661118013E-3</v>
      </c>
      <c r="U52" s="3">
        <f>IF(mlb_payrolls[[#This Row],[Total Payroll Allocations]]&gt;0,mlb_payrolls[[#This Row],[Buried]]/mlb_payrolls[[#This Row],[Total Payroll Allocations]])</f>
        <v>0</v>
      </c>
      <c r="V52">
        <f>IF(mlb_payrolls[[#This Row],[Postseason]]="No Playoffs",0,1)</f>
        <v>0</v>
      </c>
    </row>
    <row r="53" spans="1:22" x14ac:dyDescent="0.3">
      <c r="A53" t="s">
        <v>25</v>
      </c>
      <c r="B53" t="s">
        <v>26</v>
      </c>
      <c r="C53">
        <v>2023</v>
      </c>
      <c r="D53">
        <v>28</v>
      </c>
      <c r="E53" s="1">
        <v>68706439</v>
      </c>
      <c r="F53" s="1">
        <v>53159734</v>
      </c>
      <c r="G53" s="1">
        <v>3179476</v>
      </c>
      <c r="H53" s="1">
        <v>9861733</v>
      </c>
      <c r="I53" s="1">
        <v>2505496</v>
      </c>
      <c r="J53">
        <v>101</v>
      </c>
      <c r="K53">
        <v>61</v>
      </c>
      <c r="L53" t="s">
        <v>24</v>
      </c>
      <c r="M53">
        <f>mlb_payrolls[[#This Row],[Wins]] + mlb_payrolls[[#This Row],[Losses]]</f>
        <v>162</v>
      </c>
      <c r="N53" s="2">
        <f>IF(mlb_payrolls[[#This Row],[Games]] &gt;0, mlb_payrolls[[#This Row],[Wins]]/mlb_payrolls[[#This Row],[Games]], "")</f>
        <v>0.62345679012345678</v>
      </c>
      <c r="O53" s="1">
        <f>IFERROR(VALUE(mlb_payrolls[[#This Row],[Total Payroll Allocations]])/VALUE(mlb_payrolls[[#This Row],[Wins]]),"")</f>
        <v>680261.77227722772</v>
      </c>
      <c r="P53" s="1">
        <f>SUM(mlb_payrolls[[#This Row],[Active 26-Man]],mlb_payrolls[[#This Row],[Injured]],mlb_payrolls[[#This Row],[Retained]],mlb_payrolls[[#This Row],[Buried]])</f>
        <v>68706439</v>
      </c>
      <c r="Q53" s="1">
        <f>mlb_payrolls[[#This Row],[Total Payroll Allocations]]-mlb_payrolls[[#This Row],[Payroll Parts Sum]]</f>
        <v>0</v>
      </c>
      <c r="R53" s="2">
        <f>IF(mlb_payrolls[[#This Row],[Total Payroll Allocations]]&gt;0, mlb_payrolls[[#This Row],[Active 26-Man]]/mlb_payrolls[[#This Row],[Total Payroll Allocations]],"")</f>
        <v>0.77372273652546597</v>
      </c>
      <c r="S53" s="2">
        <f>IF(mlb_payrolls[[#This Row],[Total Payroll Allocations]]&gt;0,mlb_payrolls[[#This Row],[Injured]]/mlb_payrolls[[#This Row],[Total Payroll Allocations]])</f>
        <v>4.6276244938265536E-2</v>
      </c>
      <c r="T53" s="3">
        <f>IF(mlb_payrolls[[#This Row],[Total Payroll Allocations]]&gt;0,mlb_payrolls[[#This Row],[Retained]]/mlb_payrolls[[#This Row],[Total Payroll Allocations]])</f>
        <v>0.14353433453304137</v>
      </c>
      <c r="U53" s="3">
        <f>IF(mlb_payrolls[[#This Row],[Total Payroll Allocations]]&gt;0,mlb_payrolls[[#This Row],[Buried]]/mlb_payrolls[[#This Row],[Total Payroll Allocations]])</f>
        <v>3.6466684003227119E-2</v>
      </c>
      <c r="V53">
        <f>IF(mlb_payrolls[[#This Row],[Postseason]]="No Playoffs",0,1)</f>
        <v>1</v>
      </c>
    </row>
    <row r="54" spans="1:22" x14ac:dyDescent="0.3">
      <c r="A54" t="s">
        <v>17</v>
      </c>
      <c r="B54" t="s">
        <v>18</v>
      </c>
      <c r="C54">
        <v>2018</v>
      </c>
      <c r="D54">
        <v>26.5</v>
      </c>
      <c r="E54" s="1">
        <v>68810167</v>
      </c>
      <c r="F54" s="1">
        <v>25668988</v>
      </c>
      <c r="G54" s="1">
        <v>2213706</v>
      </c>
      <c r="H54" s="1">
        <v>35944023</v>
      </c>
      <c r="I54" s="1">
        <v>4983450</v>
      </c>
      <c r="J54">
        <v>90</v>
      </c>
      <c r="K54">
        <v>72</v>
      </c>
      <c r="L54" t="s">
        <v>14</v>
      </c>
      <c r="M54">
        <f>mlb_payrolls[[#This Row],[Wins]] + mlb_payrolls[[#This Row],[Losses]]</f>
        <v>162</v>
      </c>
      <c r="N54" s="2">
        <f>IF(mlb_payrolls[[#This Row],[Games]] &gt;0, mlb_payrolls[[#This Row],[Wins]]/mlb_payrolls[[#This Row],[Games]], "")</f>
        <v>0.55555555555555558</v>
      </c>
      <c r="O54" s="1">
        <f>IFERROR(VALUE(mlb_payrolls[[#This Row],[Total Payroll Allocations]])/VALUE(mlb_payrolls[[#This Row],[Wins]]),"")</f>
        <v>764557.41111111105</v>
      </c>
      <c r="P54" s="1">
        <f>SUM(mlb_payrolls[[#This Row],[Active 26-Man]],mlb_payrolls[[#This Row],[Injured]],mlb_payrolls[[#This Row],[Retained]],mlb_payrolls[[#This Row],[Buried]])</f>
        <v>68810167</v>
      </c>
      <c r="Q54" s="1">
        <f>mlb_payrolls[[#This Row],[Total Payroll Allocations]]-mlb_payrolls[[#This Row],[Payroll Parts Sum]]</f>
        <v>0</v>
      </c>
      <c r="R54" s="2">
        <f>IF(mlb_payrolls[[#This Row],[Total Payroll Allocations]]&gt;0, mlb_payrolls[[#This Row],[Active 26-Man]]/mlb_payrolls[[#This Row],[Total Payroll Allocations]],"")</f>
        <v>0.37304062930119031</v>
      </c>
      <c r="S54" s="2">
        <f>IF(mlb_payrolls[[#This Row],[Total Payroll Allocations]]&gt;0,mlb_payrolls[[#This Row],[Injured]]/mlb_payrolls[[#This Row],[Total Payroll Allocations]])</f>
        <v>3.2171205165073935E-2</v>
      </c>
      <c r="T54" s="3">
        <f>IF(mlb_payrolls[[#This Row],[Total Payroll Allocations]]&gt;0,mlb_payrolls[[#This Row],[Retained]]/mlb_payrolls[[#This Row],[Total Payroll Allocations]])</f>
        <v>0.52236500167191868</v>
      </c>
      <c r="U54" s="3">
        <f>IF(mlb_payrolls[[#This Row],[Total Payroll Allocations]]&gt;0,mlb_payrolls[[#This Row],[Buried]]/mlb_payrolls[[#This Row],[Total Payroll Allocations]])</f>
        <v>7.2423163861817103E-2</v>
      </c>
      <c r="V54">
        <f>IF(mlb_payrolls[[#This Row],[Postseason]]="No Playoffs",0,1)</f>
        <v>0</v>
      </c>
    </row>
    <row r="55" spans="1:22" x14ac:dyDescent="0.3">
      <c r="A55" t="s">
        <v>17</v>
      </c>
      <c r="B55" t="s">
        <v>18</v>
      </c>
      <c r="C55">
        <v>2021</v>
      </c>
      <c r="D55">
        <v>28.1</v>
      </c>
      <c r="E55" s="1">
        <v>70104552</v>
      </c>
      <c r="F55" s="1">
        <v>44288651</v>
      </c>
      <c r="G55" s="1">
        <v>18352159</v>
      </c>
      <c r="H55" s="1">
        <v>6218025</v>
      </c>
      <c r="I55" s="1">
        <v>1245717</v>
      </c>
      <c r="J55">
        <v>100</v>
      </c>
      <c r="K55">
        <v>62</v>
      </c>
      <c r="L55" t="s">
        <v>24</v>
      </c>
      <c r="M55">
        <f>mlb_payrolls[[#This Row],[Wins]] + mlb_payrolls[[#This Row],[Losses]]</f>
        <v>162</v>
      </c>
      <c r="N55" s="2">
        <f>IF(mlb_payrolls[[#This Row],[Games]] &gt;0, mlb_payrolls[[#This Row],[Wins]]/mlb_payrolls[[#This Row],[Games]], "")</f>
        <v>0.61728395061728392</v>
      </c>
      <c r="O55" s="1">
        <f>IFERROR(VALUE(mlb_payrolls[[#This Row],[Total Payroll Allocations]])/VALUE(mlb_payrolls[[#This Row],[Wins]]),"")</f>
        <v>701045.52</v>
      </c>
      <c r="P55" s="1">
        <f>SUM(mlb_payrolls[[#This Row],[Active 26-Man]],mlb_payrolls[[#This Row],[Injured]],mlb_payrolls[[#This Row],[Retained]],mlb_payrolls[[#This Row],[Buried]])</f>
        <v>70104552</v>
      </c>
      <c r="Q55" s="1">
        <f>mlb_payrolls[[#This Row],[Total Payroll Allocations]]-mlb_payrolls[[#This Row],[Payroll Parts Sum]]</f>
        <v>0</v>
      </c>
      <c r="R55" s="2">
        <f>IF(mlb_payrolls[[#This Row],[Total Payroll Allocations]]&gt;0, mlb_payrolls[[#This Row],[Active 26-Man]]/mlb_payrolls[[#This Row],[Total Payroll Allocations]],"")</f>
        <v>0.63175143034934456</v>
      </c>
      <c r="S55" s="2">
        <f>IF(mlb_payrolls[[#This Row],[Total Payroll Allocations]]&gt;0,mlb_payrolls[[#This Row],[Injured]]/mlb_payrolls[[#This Row],[Total Payroll Allocations]])</f>
        <v>0.26178270135725279</v>
      </c>
      <c r="T55" s="3">
        <f>IF(mlb_payrolls[[#This Row],[Total Payroll Allocations]]&gt;0,mlb_payrolls[[#This Row],[Retained]]/mlb_payrolls[[#This Row],[Total Payroll Allocations]])</f>
        <v>8.8696451551391414E-2</v>
      </c>
      <c r="U55" s="3">
        <f>IF(mlb_payrolls[[#This Row],[Total Payroll Allocations]]&gt;0,mlb_payrolls[[#This Row],[Buried]]/mlb_payrolls[[#This Row],[Total Payroll Allocations]])</f>
        <v>1.7769416742011275E-2</v>
      </c>
      <c r="V55">
        <f>IF(mlb_payrolls[[#This Row],[Postseason]]="No Playoffs",0,1)</f>
        <v>1</v>
      </c>
    </row>
    <row r="56" spans="1:22" x14ac:dyDescent="0.3">
      <c r="A56" t="s">
        <v>31</v>
      </c>
      <c r="B56" t="s">
        <v>32</v>
      </c>
      <c r="C56">
        <v>2012</v>
      </c>
      <c r="D56">
        <v>26.4</v>
      </c>
      <c r="E56" s="1">
        <v>70344235</v>
      </c>
      <c r="F56" s="1">
        <v>66385000</v>
      </c>
      <c r="G56" s="1">
        <v>0</v>
      </c>
      <c r="H56" s="1">
        <v>2579235</v>
      </c>
      <c r="I56" s="1">
        <v>1380000</v>
      </c>
      <c r="J56">
        <v>72</v>
      </c>
      <c r="K56">
        <v>90</v>
      </c>
      <c r="L56" t="s">
        <v>14</v>
      </c>
      <c r="M56">
        <f>mlb_payrolls[[#This Row],[Wins]] + mlb_payrolls[[#This Row],[Losses]]</f>
        <v>162</v>
      </c>
      <c r="N56" s="2">
        <f>IF(mlb_payrolls[[#This Row],[Games]] &gt;0, mlb_payrolls[[#This Row],[Wins]]/mlb_payrolls[[#This Row],[Games]], "")</f>
        <v>0.44444444444444442</v>
      </c>
      <c r="O56" s="1">
        <f>IFERROR(VALUE(mlb_payrolls[[#This Row],[Total Payroll Allocations]])/VALUE(mlb_payrolls[[#This Row],[Wins]]),"")</f>
        <v>977003.26388888888</v>
      </c>
      <c r="P56" s="1">
        <f>SUM(mlb_payrolls[[#This Row],[Active 26-Man]],mlb_payrolls[[#This Row],[Injured]],mlb_payrolls[[#This Row],[Retained]],mlb_payrolls[[#This Row],[Buried]])</f>
        <v>70344235</v>
      </c>
      <c r="Q56" s="1">
        <f>mlb_payrolls[[#This Row],[Total Payroll Allocations]]-mlb_payrolls[[#This Row],[Payroll Parts Sum]]</f>
        <v>0</v>
      </c>
      <c r="R56" s="2">
        <f>IF(mlb_payrolls[[#This Row],[Total Payroll Allocations]]&gt;0, mlb_payrolls[[#This Row],[Active 26-Man]]/mlb_payrolls[[#This Row],[Total Payroll Allocations]],"")</f>
        <v>0.94371628321780743</v>
      </c>
      <c r="S56" s="2">
        <f>IF(mlb_payrolls[[#This Row],[Total Payroll Allocations]]&gt;0,mlb_payrolls[[#This Row],[Injured]]/mlb_payrolls[[#This Row],[Total Payroll Allocations]])</f>
        <v>0</v>
      </c>
      <c r="T56" s="3">
        <f>IF(mlb_payrolls[[#This Row],[Total Payroll Allocations]]&gt;0,mlb_payrolls[[#This Row],[Retained]]/mlb_payrolls[[#This Row],[Total Payroll Allocations]])</f>
        <v>3.6665904462533427E-2</v>
      </c>
      <c r="U56" s="3">
        <f>IF(mlb_payrolls[[#This Row],[Total Payroll Allocations]]&gt;0,mlb_payrolls[[#This Row],[Buried]]/mlb_payrolls[[#This Row],[Total Payroll Allocations]])</f>
        <v>1.9617812319659172E-2</v>
      </c>
      <c r="V56">
        <f>IF(mlb_payrolls[[#This Row],[Postseason]]="No Playoffs",0,1)</f>
        <v>0</v>
      </c>
    </row>
    <row r="57" spans="1:22" x14ac:dyDescent="0.3">
      <c r="A57" t="s">
        <v>15</v>
      </c>
      <c r="B57" t="s">
        <v>16</v>
      </c>
      <c r="C57">
        <v>2013</v>
      </c>
      <c r="D57">
        <v>28.2</v>
      </c>
      <c r="E57" s="1">
        <v>71480984</v>
      </c>
      <c r="F57" s="1">
        <v>67762905</v>
      </c>
      <c r="G57" s="1">
        <v>0</v>
      </c>
      <c r="H57" s="1">
        <v>832370</v>
      </c>
      <c r="I57" s="1">
        <v>2885709</v>
      </c>
      <c r="J57">
        <v>94</v>
      </c>
      <c r="K57">
        <v>68</v>
      </c>
      <c r="L57" t="s">
        <v>21</v>
      </c>
      <c r="M57">
        <f>mlb_payrolls[[#This Row],[Wins]] + mlb_payrolls[[#This Row],[Losses]]</f>
        <v>162</v>
      </c>
      <c r="N57" s="2">
        <f>IF(mlb_payrolls[[#This Row],[Games]] &gt;0, mlb_payrolls[[#This Row],[Wins]]/mlb_payrolls[[#This Row],[Games]], "")</f>
        <v>0.58024691358024694</v>
      </c>
      <c r="O57" s="1">
        <f>IFERROR(VALUE(mlb_payrolls[[#This Row],[Total Payroll Allocations]])/VALUE(mlb_payrolls[[#This Row],[Wins]]),"")</f>
        <v>760436</v>
      </c>
      <c r="P57" s="1">
        <f>SUM(mlb_payrolls[[#This Row],[Active 26-Man]],mlb_payrolls[[#This Row],[Injured]],mlb_payrolls[[#This Row],[Retained]],mlb_payrolls[[#This Row],[Buried]])</f>
        <v>71480984</v>
      </c>
      <c r="Q57" s="1">
        <f>mlb_payrolls[[#This Row],[Total Payroll Allocations]]-mlb_payrolls[[#This Row],[Payroll Parts Sum]]</f>
        <v>0</v>
      </c>
      <c r="R57" s="2">
        <f>IF(mlb_payrolls[[#This Row],[Total Payroll Allocations]]&gt;0, mlb_payrolls[[#This Row],[Active 26-Man]]/mlb_payrolls[[#This Row],[Total Payroll Allocations]],"")</f>
        <v>0.94798506131364957</v>
      </c>
      <c r="S57" s="2">
        <f>IF(mlb_payrolls[[#This Row],[Total Payroll Allocations]]&gt;0,mlb_payrolls[[#This Row],[Injured]]/mlb_payrolls[[#This Row],[Total Payroll Allocations]])</f>
        <v>0</v>
      </c>
      <c r="T57" s="3">
        <f>IF(mlb_payrolls[[#This Row],[Total Payroll Allocations]]&gt;0,mlb_payrolls[[#This Row],[Retained]]/mlb_payrolls[[#This Row],[Total Payroll Allocations]])</f>
        <v>1.164463544598099E-2</v>
      </c>
      <c r="U57" s="3">
        <f>IF(mlb_payrolls[[#This Row],[Total Payroll Allocations]]&gt;0,mlb_payrolls[[#This Row],[Buried]]/mlb_payrolls[[#This Row],[Total Payroll Allocations]])</f>
        <v>4.0370303240369491E-2</v>
      </c>
      <c r="V57">
        <f>IF(mlb_payrolls[[#This Row],[Postseason]]="No Playoffs",0,1)</f>
        <v>1</v>
      </c>
    </row>
    <row r="58" spans="1:22" x14ac:dyDescent="0.3">
      <c r="A58" t="s">
        <v>69</v>
      </c>
      <c r="B58" t="s">
        <v>70</v>
      </c>
      <c r="C58">
        <v>2018</v>
      </c>
      <c r="D58">
        <v>26.8</v>
      </c>
      <c r="E58" s="1">
        <v>71839808</v>
      </c>
      <c r="F58" s="1">
        <v>54911542</v>
      </c>
      <c r="G58" s="1">
        <v>5920130</v>
      </c>
      <c r="H58" s="1">
        <v>7681442</v>
      </c>
      <c r="I58" s="1">
        <v>976694</v>
      </c>
      <c r="J58">
        <v>62</v>
      </c>
      <c r="K58">
        <v>100</v>
      </c>
      <c r="L58" t="s">
        <v>14</v>
      </c>
      <c r="M58">
        <f>mlb_payrolls[[#This Row],[Wins]] + mlb_payrolls[[#This Row],[Losses]]</f>
        <v>162</v>
      </c>
      <c r="N58" s="2">
        <f>IF(mlb_payrolls[[#This Row],[Games]] &gt;0, mlb_payrolls[[#This Row],[Wins]]/mlb_payrolls[[#This Row],[Games]], "")</f>
        <v>0.38271604938271603</v>
      </c>
      <c r="O58" s="1">
        <f>IFERROR(VALUE(mlb_payrolls[[#This Row],[Total Payroll Allocations]])/VALUE(mlb_payrolls[[#This Row],[Wins]]),"")</f>
        <v>1158706.5806451612</v>
      </c>
      <c r="P58" s="1">
        <f>SUM(mlb_payrolls[[#This Row],[Active 26-Man]],mlb_payrolls[[#This Row],[Injured]],mlb_payrolls[[#This Row],[Retained]],mlb_payrolls[[#This Row],[Buried]])</f>
        <v>69489808</v>
      </c>
      <c r="Q58" s="1">
        <f>mlb_payrolls[[#This Row],[Total Payroll Allocations]]-mlb_payrolls[[#This Row],[Payroll Parts Sum]]</f>
        <v>2350000</v>
      </c>
      <c r="R58" s="2">
        <f>IF(mlb_payrolls[[#This Row],[Total Payroll Allocations]]&gt;0, mlb_payrolls[[#This Row],[Active 26-Man]]/mlb_payrolls[[#This Row],[Total Payroll Allocations]],"")</f>
        <v>0.7643609236817559</v>
      </c>
      <c r="S58" s="2">
        <f>IF(mlb_payrolls[[#This Row],[Total Payroll Allocations]]&gt;0,mlb_payrolls[[#This Row],[Injured]]/mlb_payrolls[[#This Row],[Total Payroll Allocations]])</f>
        <v>8.2407375030846414E-2</v>
      </c>
      <c r="T58" s="3">
        <f>IF(mlb_payrolls[[#This Row],[Total Payroll Allocations]]&gt;0,mlb_payrolls[[#This Row],[Retained]]/mlb_payrolls[[#This Row],[Total Payroll Allocations]])</f>
        <v>0.10692458977618649</v>
      </c>
      <c r="U58" s="3">
        <f>IF(mlb_payrolls[[#This Row],[Total Payroll Allocations]]&gt;0,mlb_payrolls[[#This Row],[Buried]]/mlb_payrolls[[#This Row],[Total Payroll Allocations]])</f>
        <v>1.3595442794056466E-2</v>
      </c>
      <c r="V58">
        <f>IF(mlb_payrolls[[#This Row],[Postseason]]="No Playoffs",0,1)</f>
        <v>0</v>
      </c>
    </row>
    <row r="59" spans="1:22" x14ac:dyDescent="0.3">
      <c r="A59" t="s">
        <v>15</v>
      </c>
      <c r="B59" t="s">
        <v>16</v>
      </c>
      <c r="C59">
        <v>2019</v>
      </c>
      <c r="D59">
        <v>26.8</v>
      </c>
      <c r="E59" s="1">
        <v>72176474</v>
      </c>
      <c r="F59" s="1">
        <v>27674108</v>
      </c>
      <c r="G59" s="1">
        <v>19571272</v>
      </c>
      <c r="H59" s="1">
        <v>20053143</v>
      </c>
      <c r="I59" s="1">
        <v>377951</v>
      </c>
      <c r="J59">
        <v>69</v>
      </c>
      <c r="K59">
        <v>93</v>
      </c>
      <c r="L59" t="s">
        <v>14</v>
      </c>
      <c r="M59">
        <f>mlb_payrolls[[#This Row],[Wins]] + mlb_payrolls[[#This Row],[Losses]]</f>
        <v>162</v>
      </c>
      <c r="N59" s="2">
        <f>IF(mlb_payrolls[[#This Row],[Games]] &gt;0, mlb_payrolls[[#This Row],[Wins]]/mlb_payrolls[[#This Row],[Games]], "")</f>
        <v>0.42592592592592593</v>
      </c>
      <c r="O59" s="1">
        <f>IFERROR(VALUE(mlb_payrolls[[#This Row],[Total Payroll Allocations]])/VALUE(mlb_payrolls[[#This Row],[Wins]]),"")</f>
        <v>1046035.8550724637</v>
      </c>
      <c r="P59" s="1">
        <f>SUM(mlb_payrolls[[#This Row],[Active 26-Man]],mlb_payrolls[[#This Row],[Injured]],mlb_payrolls[[#This Row],[Retained]],mlb_payrolls[[#This Row],[Buried]])</f>
        <v>67676474</v>
      </c>
      <c r="Q59" s="1">
        <f>mlb_payrolls[[#This Row],[Total Payroll Allocations]]-mlb_payrolls[[#This Row],[Payroll Parts Sum]]</f>
        <v>4500000</v>
      </c>
      <c r="R59" s="2">
        <f>IF(mlb_payrolls[[#This Row],[Total Payroll Allocations]]&gt;0, mlb_payrolls[[#This Row],[Active 26-Man]]/mlb_payrolls[[#This Row],[Total Payroll Allocations]],"")</f>
        <v>0.38342283110144726</v>
      </c>
      <c r="S59" s="2">
        <f>IF(mlb_payrolls[[#This Row],[Total Payroll Allocations]]&gt;0,mlb_payrolls[[#This Row],[Injured]]/mlb_payrolls[[#This Row],[Total Payroll Allocations]])</f>
        <v>0.27115860494930799</v>
      </c>
      <c r="T59" s="3">
        <f>IF(mlb_payrolls[[#This Row],[Total Payroll Allocations]]&gt;0,mlb_payrolls[[#This Row],[Retained]]/mlb_payrolls[[#This Row],[Total Payroll Allocations]])</f>
        <v>0.27783489395727479</v>
      </c>
      <c r="U59" s="3">
        <f>IF(mlb_payrolls[[#This Row],[Total Payroll Allocations]]&gt;0,mlb_payrolls[[#This Row],[Buried]]/mlb_payrolls[[#This Row],[Total Payroll Allocations]])</f>
        <v>5.2364846750479945E-3</v>
      </c>
      <c r="V59">
        <f>IF(mlb_payrolls[[#This Row],[Postseason]]="No Playoffs",0,1)</f>
        <v>0</v>
      </c>
    </row>
    <row r="60" spans="1:22" x14ac:dyDescent="0.3">
      <c r="A60" t="s">
        <v>17</v>
      </c>
      <c r="B60" t="s">
        <v>18</v>
      </c>
      <c r="C60">
        <v>2013</v>
      </c>
      <c r="D60">
        <v>29.1</v>
      </c>
      <c r="E60" s="1">
        <v>72600703</v>
      </c>
      <c r="F60" s="1">
        <v>70029393</v>
      </c>
      <c r="G60" s="1">
        <v>270436</v>
      </c>
      <c r="H60" s="1">
        <v>2250000</v>
      </c>
      <c r="I60" s="1">
        <v>50874</v>
      </c>
      <c r="J60">
        <v>92</v>
      </c>
      <c r="K60">
        <v>71</v>
      </c>
      <c r="L60" t="s">
        <v>21</v>
      </c>
      <c r="M60">
        <f>mlb_payrolls[[#This Row],[Wins]] + mlb_payrolls[[#This Row],[Losses]]</f>
        <v>163</v>
      </c>
      <c r="N60" s="2">
        <f>IF(mlb_payrolls[[#This Row],[Games]] &gt;0, mlb_payrolls[[#This Row],[Wins]]/mlb_payrolls[[#This Row],[Games]], "")</f>
        <v>0.56441717791411039</v>
      </c>
      <c r="O60" s="1">
        <f>IFERROR(VALUE(mlb_payrolls[[#This Row],[Total Payroll Allocations]])/VALUE(mlb_payrolls[[#This Row],[Wins]]),"")</f>
        <v>789138.07608695654</v>
      </c>
      <c r="P60" s="1">
        <f>SUM(mlb_payrolls[[#This Row],[Active 26-Man]],mlb_payrolls[[#This Row],[Injured]],mlb_payrolls[[#This Row],[Retained]],mlb_payrolls[[#This Row],[Buried]])</f>
        <v>72600703</v>
      </c>
      <c r="Q60" s="1">
        <f>mlb_payrolls[[#This Row],[Total Payroll Allocations]]-mlb_payrolls[[#This Row],[Payroll Parts Sum]]</f>
        <v>0</v>
      </c>
      <c r="R60" s="2">
        <f>IF(mlb_payrolls[[#This Row],[Total Payroll Allocations]]&gt;0, mlb_payrolls[[#This Row],[Active 26-Man]]/mlb_payrolls[[#This Row],[Total Payroll Allocations]],"")</f>
        <v>0.96458284983824472</v>
      </c>
      <c r="S60" s="2">
        <f>IF(mlb_payrolls[[#This Row],[Total Payroll Allocations]]&gt;0,mlb_payrolls[[#This Row],[Injured]]/mlb_payrolls[[#This Row],[Total Payroll Allocations]])</f>
        <v>3.7249777044169943E-3</v>
      </c>
      <c r="T60" s="3">
        <f>IF(mlb_payrolls[[#This Row],[Total Payroll Allocations]]&gt;0,mlb_payrolls[[#This Row],[Retained]]/mlb_payrolls[[#This Row],[Total Payroll Allocations]])</f>
        <v>3.099143544105902E-2</v>
      </c>
      <c r="U60" s="3">
        <f>IF(mlb_payrolls[[#This Row],[Total Payroll Allocations]]&gt;0,mlb_payrolls[[#This Row],[Buried]]/mlb_payrolls[[#This Row],[Total Payroll Allocations]])</f>
        <v>7.0073701627930516E-4</v>
      </c>
      <c r="V60">
        <f>IF(mlb_payrolls[[#This Row],[Postseason]]="No Playoffs",0,1)</f>
        <v>1</v>
      </c>
    </row>
    <row r="61" spans="1:22" x14ac:dyDescent="0.3">
      <c r="A61" t="s">
        <v>41</v>
      </c>
      <c r="B61" t="s">
        <v>42</v>
      </c>
      <c r="C61">
        <v>2020</v>
      </c>
      <c r="D61">
        <v>28.4</v>
      </c>
      <c r="E61" s="1">
        <v>72861614</v>
      </c>
      <c r="F61" s="1">
        <v>54293958</v>
      </c>
      <c r="G61" s="1">
        <v>3531020</v>
      </c>
      <c r="H61" s="1">
        <v>14471215</v>
      </c>
      <c r="I61" s="1">
        <v>565421</v>
      </c>
      <c r="J61">
        <v>37</v>
      </c>
      <c r="K61">
        <v>23</v>
      </c>
      <c r="L61" t="s">
        <v>21</v>
      </c>
      <c r="M61">
        <f>mlb_payrolls[[#This Row],[Wins]] + mlb_payrolls[[#This Row],[Losses]]</f>
        <v>60</v>
      </c>
      <c r="N61" s="2">
        <f>IF(mlb_payrolls[[#This Row],[Games]] &gt;0, mlb_payrolls[[#This Row],[Wins]]/mlb_payrolls[[#This Row],[Games]], "")</f>
        <v>0.6166666666666667</v>
      </c>
      <c r="O61" s="1">
        <f>IFERROR(VALUE(mlb_payrolls[[#This Row],[Total Payroll Allocations]])/VALUE(mlb_payrolls[[#This Row],[Wins]]),"")</f>
        <v>1969232.8108108109</v>
      </c>
      <c r="P61" s="1">
        <f>SUM(mlb_payrolls[[#This Row],[Active 26-Man]],mlb_payrolls[[#This Row],[Injured]],mlb_payrolls[[#This Row],[Retained]],mlb_payrolls[[#This Row],[Buried]])</f>
        <v>72861614</v>
      </c>
      <c r="Q61" s="1">
        <f>mlb_payrolls[[#This Row],[Total Payroll Allocations]]-mlb_payrolls[[#This Row],[Payroll Parts Sum]]</f>
        <v>0</v>
      </c>
      <c r="R61" s="2">
        <f>IF(mlb_payrolls[[#This Row],[Total Payroll Allocations]]&gt;0, mlb_payrolls[[#This Row],[Active 26-Man]]/mlb_payrolls[[#This Row],[Total Payroll Allocations]],"")</f>
        <v>0.74516545845388493</v>
      </c>
      <c r="S61" s="2">
        <f>IF(mlb_payrolls[[#This Row],[Total Payroll Allocations]]&gt;0,mlb_payrolls[[#This Row],[Injured]]/mlb_payrolls[[#This Row],[Total Payroll Allocations]])</f>
        <v>4.8462006345343929E-2</v>
      </c>
      <c r="T61" s="3">
        <f>IF(mlb_payrolls[[#This Row],[Total Payroll Allocations]]&gt;0,mlb_payrolls[[#This Row],[Retained]]/mlb_payrolls[[#This Row],[Total Payroll Allocations]])</f>
        <v>0.19861233104169226</v>
      </c>
      <c r="U61" s="3">
        <f>IF(mlb_payrolls[[#This Row],[Total Payroll Allocations]]&gt;0,mlb_payrolls[[#This Row],[Buried]]/mlb_payrolls[[#This Row],[Total Payroll Allocations]])</f>
        <v>7.7602041590788809E-3</v>
      </c>
      <c r="V61">
        <f>IF(mlb_payrolls[[#This Row],[Postseason]]="No Playoffs",0,1)</f>
        <v>1</v>
      </c>
    </row>
    <row r="62" spans="1:22" x14ac:dyDescent="0.3">
      <c r="A62" t="s">
        <v>35</v>
      </c>
      <c r="B62" t="s">
        <v>36</v>
      </c>
      <c r="C62">
        <v>2015</v>
      </c>
      <c r="D62">
        <v>27.1</v>
      </c>
      <c r="E62" s="1">
        <v>72990525</v>
      </c>
      <c r="F62" s="1">
        <v>28171144</v>
      </c>
      <c r="G62" s="1">
        <v>15751830</v>
      </c>
      <c r="H62" s="1">
        <v>19528890</v>
      </c>
      <c r="I62" s="1">
        <v>138661</v>
      </c>
      <c r="J62">
        <v>71</v>
      </c>
      <c r="K62">
        <v>91</v>
      </c>
      <c r="L62" t="s">
        <v>14</v>
      </c>
      <c r="M62">
        <f>mlb_payrolls[[#This Row],[Wins]] + mlb_payrolls[[#This Row],[Losses]]</f>
        <v>162</v>
      </c>
      <c r="N62" s="2">
        <f>IF(mlb_payrolls[[#This Row],[Games]] &gt;0, mlb_payrolls[[#This Row],[Wins]]/mlb_payrolls[[#This Row],[Games]], "")</f>
        <v>0.43827160493827161</v>
      </c>
      <c r="O62" s="1">
        <f>IFERROR(VALUE(mlb_payrolls[[#This Row],[Total Payroll Allocations]])/VALUE(mlb_payrolls[[#This Row],[Wins]]),"")</f>
        <v>1028035.5633802817</v>
      </c>
      <c r="P62" s="1">
        <f>SUM(mlb_payrolls[[#This Row],[Active 26-Man]],mlb_payrolls[[#This Row],[Injured]],mlb_payrolls[[#This Row],[Retained]],mlb_payrolls[[#This Row],[Buried]])</f>
        <v>63590525</v>
      </c>
      <c r="Q62" s="1">
        <f>mlb_payrolls[[#This Row],[Total Payroll Allocations]]-mlb_payrolls[[#This Row],[Payroll Parts Sum]]</f>
        <v>9400000</v>
      </c>
      <c r="R62" s="2">
        <f>IF(mlb_payrolls[[#This Row],[Total Payroll Allocations]]&gt;0, mlb_payrolls[[#This Row],[Active 26-Man]]/mlb_payrolls[[#This Row],[Total Payroll Allocations]],"")</f>
        <v>0.38595617718875158</v>
      </c>
      <c r="S62" s="2">
        <f>IF(mlb_payrolls[[#This Row],[Total Payroll Allocations]]&gt;0,mlb_payrolls[[#This Row],[Injured]]/mlb_payrolls[[#This Row],[Total Payroll Allocations]])</f>
        <v>0.21580650365235762</v>
      </c>
      <c r="T62" s="3">
        <f>IF(mlb_payrolls[[#This Row],[Total Payroll Allocations]]&gt;0,mlb_payrolls[[#This Row],[Retained]]/mlb_payrolls[[#This Row],[Total Payroll Allocations]])</f>
        <v>0.26755376810894288</v>
      </c>
      <c r="U62" s="3">
        <f>IF(mlb_payrolls[[#This Row],[Total Payroll Allocations]]&gt;0,mlb_payrolls[[#This Row],[Buried]]/mlb_payrolls[[#This Row],[Total Payroll Allocations]])</f>
        <v>1.8997123256751475E-3</v>
      </c>
      <c r="V62">
        <f>IF(mlb_payrolls[[#This Row],[Postseason]]="No Playoffs",0,1)</f>
        <v>0</v>
      </c>
    </row>
    <row r="63" spans="1:22" x14ac:dyDescent="0.3">
      <c r="A63" t="s">
        <v>17</v>
      </c>
      <c r="B63" t="s">
        <v>18</v>
      </c>
      <c r="C63">
        <v>2015</v>
      </c>
      <c r="D63">
        <v>27.1</v>
      </c>
      <c r="E63" s="1">
        <v>73241552</v>
      </c>
      <c r="F63" s="1">
        <v>52092948</v>
      </c>
      <c r="G63" s="1">
        <v>8440963</v>
      </c>
      <c r="H63" s="1">
        <v>12164597</v>
      </c>
      <c r="I63" s="1">
        <v>543044</v>
      </c>
      <c r="J63">
        <v>80</v>
      </c>
      <c r="K63">
        <v>82</v>
      </c>
      <c r="L63" t="s">
        <v>14</v>
      </c>
      <c r="M63">
        <f>mlb_payrolls[[#This Row],[Wins]] + mlb_payrolls[[#This Row],[Losses]]</f>
        <v>162</v>
      </c>
      <c r="N63" s="2">
        <f>IF(mlb_payrolls[[#This Row],[Games]] &gt;0, mlb_payrolls[[#This Row],[Wins]]/mlb_payrolls[[#This Row],[Games]], "")</f>
        <v>0.49382716049382713</v>
      </c>
      <c r="O63" s="1">
        <f>IFERROR(VALUE(mlb_payrolls[[#This Row],[Total Payroll Allocations]])/VALUE(mlb_payrolls[[#This Row],[Wins]]),"")</f>
        <v>915519.4</v>
      </c>
      <c r="P63" s="1">
        <f>SUM(mlb_payrolls[[#This Row],[Active 26-Man]],mlb_payrolls[[#This Row],[Injured]],mlb_payrolls[[#This Row],[Retained]],mlb_payrolls[[#This Row],[Buried]])</f>
        <v>73241552</v>
      </c>
      <c r="Q63" s="1">
        <f>mlb_payrolls[[#This Row],[Total Payroll Allocations]]-mlb_payrolls[[#This Row],[Payroll Parts Sum]]</f>
        <v>0</v>
      </c>
      <c r="R63" s="2">
        <f>IF(mlb_payrolls[[#This Row],[Total Payroll Allocations]]&gt;0, mlb_payrolls[[#This Row],[Active 26-Man]]/mlb_payrolls[[#This Row],[Total Payroll Allocations]],"")</f>
        <v>0.71124855464559245</v>
      </c>
      <c r="S63" s="2">
        <f>IF(mlb_payrolls[[#This Row],[Total Payroll Allocations]]&gt;0,mlb_payrolls[[#This Row],[Injured]]/mlb_payrolls[[#This Row],[Total Payroll Allocations]])</f>
        <v>0.11524828146732882</v>
      </c>
      <c r="T63" s="3">
        <f>IF(mlb_payrolls[[#This Row],[Total Payroll Allocations]]&gt;0,mlb_payrolls[[#This Row],[Retained]]/mlb_payrolls[[#This Row],[Total Payroll Allocations]])</f>
        <v>0.16608873880771943</v>
      </c>
      <c r="U63" s="3">
        <f>IF(mlb_payrolls[[#This Row],[Total Payroll Allocations]]&gt;0,mlb_payrolls[[#This Row],[Buried]]/mlb_payrolls[[#This Row],[Total Payroll Allocations]])</f>
        <v>7.4144250793593235E-3</v>
      </c>
      <c r="V63">
        <f>IF(mlb_payrolls[[#This Row],[Postseason]]="No Playoffs",0,1)</f>
        <v>0</v>
      </c>
    </row>
    <row r="64" spans="1:22" x14ac:dyDescent="0.3">
      <c r="A64" t="s">
        <v>45</v>
      </c>
      <c r="B64" t="s">
        <v>46</v>
      </c>
      <c r="C64">
        <v>2020</v>
      </c>
      <c r="D64">
        <v>28</v>
      </c>
      <c r="E64" s="1">
        <v>73246343</v>
      </c>
      <c r="F64" s="1">
        <v>51757860</v>
      </c>
      <c r="G64" s="1">
        <v>12343763</v>
      </c>
      <c r="H64" s="1">
        <v>12000000</v>
      </c>
      <c r="I64" s="1">
        <v>1087757</v>
      </c>
      <c r="J64">
        <v>30</v>
      </c>
      <c r="K64">
        <v>28</v>
      </c>
      <c r="L64" t="s">
        <v>14</v>
      </c>
      <c r="M64">
        <f>mlb_payrolls[[#This Row],[Wins]] + mlb_payrolls[[#This Row],[Losses]]</f>
        <v>58</v>
      </c>
      <c r="N64" s="2">
        <f>IF(mlb_payrolls[[#This Row],[Games]] &gt;0, mlb_payrolls[[#This Row],[Wins]]/mlb_payrolls[[#This Row],[Games]], "")</f>
        <v>0.51724137931034486</v>
      </c>
      <c r="O64" s="1">
        <f>IFERROR(VALUE(mlb_payrolls[[#This Row],[Total Payroll Allocations]])/VALUE(mlb_payrolls[[#This Row],[Wins]]),"")</f>
        <v>2441544.7666666666</v>
      </c>
      <c r="P64" s="1">
        <f>SUM(mlb_payrolls[[#This Row],[Active 26-Man]],mlb_payrolls[[#This Row],[Injured]],mlb_payrolls[[#This Row],[Retained]],mlb_payrolls[[#This Row],[Buried]])</f>
        <v>77189380</v>
      </c>
      <c r="Q64" s="1">
        <f>mlb_payrolls[[#This Row],[Total Payroll Allocations]]-mlb_payrolls[[#This Row],[Payroll Parts Sum]]</f>
        <v>-3943037</v>
      </c>
      <c r="R64" s="2">
        <f>IF(mlb_payrolls[[#This Row],[Total Payroll Allocations]]&gt;0, mlb_payrolls[[#This Row],[Active 26-Man]]/mlb_payrolls[[#This Row],[Total Payroll Allocations]],"")</f>
        <v>0.70662722369634212</v>
      </c>
      <c r="S64" s="2">
        <f>IF(mlb_payrolls[[#This Row],[Total Payroll Allocations]]&gt;0,mlb_payrolls[[#This Row],[Injured]]/mlb_payrolls[[#This Row],[Total Payroll Allocations]])</f>
        <v>0.16852394937997109</v>
      </c>
      <c r="T64" s="3">
        <f>IF(mlb_payrolls[[#This Row],[Total Payroll Allocations]]&gt;0,mlb_payrolls[[#This Row],[Retained]]/mlb_payrolls[[#This Row],[Total Payroll Allocations]])</f>
        <v>0.16383070483122961</v>
      </c>
      <c r="U64" s="3">
        <f>IF(mlb_payrolls[[#This Row],[Total Payroll Allocations]]&gt;0,mlb_payrolls[[#This Row],[Buried]]/mlb_payrolls[[#This Row],[Total Payroll Allocations]])</f>
        <v>1.4850666332925318E-2</v>
      </c>
      <c r="V64">
        <f>IF(mlb_payrolls[[#This Row],[Postseason]]="No Playoffs",0,1)</f>
        <v>0</v>
      </c>
    </row>
    <row r="65" spans="1:22" x14ac:dyDescent="0.3">
      <c r="A65" t="s">
        <v>25</v>
      </c>
      <c r="B65" t="s">
        <v>26</v>
      </c>
      <c r="C65">
        <v>2019</v>
      </c>
      <c r="D65">
        <v>26.5</v>
      </c>
      <c r="E65" s="1">
        <v>73328658</v>
      </c>
      <c r="F65" s="1">
        <v>52804601</v>
      </c>
      <c r="G65" s="1">
        <v>9822272</v>
      </c>
      <c r="H65" s="1">
        <v>8886476</v>
      </c>
      <c r="I65" s="1">
        <v>1815309</v>
      </c>
      <c r="J65">
        <v>54</v>
      </c>
      <c r="K65">
        <v>108</v>
      </c>
      <c r="L65" t="s">
        <v>14</v>
      </c>
      <c r="M65">
        <f>mlb_payrolls[[#This Row],[Wins]] + mlb_payrolls[[#This Row],[Losses]]</f>
        <v>162</v>
      </c>
      <c r="N65" s="2">
        <f>IF(mlb_payrolls[[#This Row],[Games]] &gt;0, mlb_payrolls[[#This Row],[Wins]]/mlb_payrolls[[#This Row],[Games]], "")</f>
        <v>0.33333333333333331</v>
      </c>
      <c r="O65" s="1">
        <f>IFERROR(VALUE(mlb_payrolls[[#This Row],[Total Payroll Allocations]])/VALUE(mlb_payrolls[[#This Row],[Wins]]),"")</f>
        <v>1357938.111111111</v>
      </c>
      <c r="P65" s="1">
        <f>SUM(mlb_payrolls[[#This Row],[Active 26-Man]],mlb_payrolls[[#This Row],[Injured]],mlb_payrolls[[#This Row],[Retained]],mlb_payrolls[[#This Row],[Buried]])</f>
        <v>73328658</v>
      </c>
      <c r="Q65" s="1">
        <f>mlb_payrolls[[#This Row],[Total Payroll Allocations]]-mlb_payrolls[[#This Row],[Payroll Parts Sum]]</f>
        <v>0</v>
      </c>
      <c r="R65" s="2">
        <f>IF(mlb_payrolls[[#This Row],[Total Payroll Allocations]]&gt;0, mlb_payrolls[[#This Row],[Active 26-Man]]/mlb_payrolls[[#This Row],[Total Payroll Allocations]],"")</f>
        <v>0.72010865110882027</v>
      </c>
      <c r="S65" s="2">
        <f>IF(mlb_payrolls[[#This Row],[Total Payroll Allocations]]&gt;0,mlb_payrolls[[#This Row],[Injured]]/mlb_payrolls[[#This Row],[Total Payroll Allocations]])</f>
        <v>0.13394861256018076</v>
      </c>
      <c r="T65" s="3">
        <f>IF(mlb_payrolls[[#This Row],[Total Payroll Allocations]]&gt;0,mlb_payrolls[[#This Row],[Retained]]/mlb_payrolls[[#This Row],[Total Payroll Allocations]])</f>
        <v>0.12118694440037345</v>
      </c>
      <c r="U65" s="3">
        <f>IF(mlb_payrolls[[#This Row],[Total Payroll Allocations]]&gt;0,mlb_payrolls[[#This Row],[Buried]]/mlb_payrolls[[#This Row],[Total Payroll Allocations]])</f>
        <v>2.4755791930625541E-2</v>
      </c>
      <c r="V65">
        <f>IF(mlb_payrolls[[#This Row],[Postseason]]="No Playoffs",0,1)</f>
        <v>0</v>
      </c>
    </row>
    <row r="66" spans="1:22" x14ac:dyDescent="0.3">
      <c r="A66" t="s">
        <v>53</v>
      </c>
      <c r="B66" t="s">
        <v>54</v>
      </c>
      <c r="C66">
        <v>2020</v>
      </c>
      <c r="D66">
        <v>29</v>
      </c>
      <c r="E66" s="1">
        <v>73408817</v>
      </c>
      <c r="F66" s="1">
        <v>40562214</v>
      </c>
      <c r="G66" s="1">
        <v>1428006</v>
      </c>
      <c r="H66" s="1">
        <v>13996618</v>
      </c>
      <c r="I66" s="1">
        <v>8718276</v>
      </c>
      <c r="J66">
        <v>29</v>
      </c>
      <c r="K66">
        <v>31</v>
      </c>
      <c r="L66" t="s">
        <v>14</v>
      </c>
      <c r="M66">
        <f>mlb_payrolls[[#This Row],[Wins]] + mlb_payrolls[[#This Row],[Losses]]</f>
        <v>60</v>
      </c>
      <c r="N66" s="2">
        <f>IF(mlb_payrolls[[#This Row],[Games]] &gt;0, mlb_payrolls[[#This Row],[Wins]]/mlb_payrolls[[#This Row],[Games]], "")</f>
        <v>0.48333333333333334</v>
      </c>
      <c r="O66" s="1">
        <f>IFERROR(VALUE(mlb_payrolls[[#This Row],[Total Payroll Allocations]])/VALUE(mlb_payrolls[[#This Row],[Wins]]),"")</f>
        <v>2531338.5172413792</v>
      </c>
      <c r="P66" s="1">
        <f>SUM(mlb_payrolls[[#This Row],[Active 26-Man]],mlb_payrolls[[#This Row],[Injured]],mlb_payrolls[[#This Row],[Retained]],mlb_payrolls[[#This Row],[Buried]])</f>
        <v>64705114</v>
      </c>
      <c r="Q66" s="1">
        <f>mlb_payrolls[[#This Row],[Total Payroll Allocations]]-mlb_payrolls[[#This Row],[Payroll Parts Sum]]</f>
        <v>8703703</v>
      </c>
      <c r="R66" s="2">
        <f>IF(mlb_payrolls[[#This Row],[Total Payroll Allocations]]&gt;0, mlb_payrolls[[#This Row],[Active 26-Man]]/mlb_payrolls[[#This Row],[Total Payroll Allocations]],"")</f>
        <v>0.55255234531296149</v>
      </c>
      <c r="S66" s="2">
        <f>IF(mlb_payrolls[[#This Row],[Total Payroll Allocations]]&gt;0,mlb_payrolls[[#This Row],[Injured]]/mlb_payrolls[[#This Row],[Total Payroll Allocations]])</f>
        <v>1.9452785896277282E-2</v>
      </c>
      <c r="T66" s="3">
        <f>IF(mlb_payrolls[[#This Row],[Total Payroll Allocations]]&gt;0,mlb_payrolls[[#This Row],[Retained]]/mlb_payrolls[[#This Row],[Total Payroll Allocations]])</f>
        <v>0.19066671514404054</v>
      </c>
      <c r="U66" s="3">
        <f>IF(mlb_payrolls[[#This Row],[Total Payroll Allocations]]&gt;0,mlb_payrolls[[#This Row],[Buried]]/mlb_payrolls[[#This Row],[Total Payroll Allocations]])</f>
        <v>0.11876333601725253</v>
      </c>
      <c r="V66">
        <f>IF(mlb_payrolls[[#This Row],[Postseason]]="No Playoffs",0,1)</f>
        <v>0</v>
      </c>
    </row>
    <row r="67" spans="1:22" x14ac:dyDescent="0.3">
      <c r="A67" t="s">
        <v>12</v>
      </c>
      <c r="B67" t="s">
        <v>13</v>
      </c>
      <c r="C67">
        <v>2017</v>
      </c>
      <c r="D67">
        <v>27.2</v>
      </c>
      <c r="E67" s="1">
        <v>73477080</v>
      </c>
      <c r="F67" s="1">
        <v>26723817</v>
      </c>
      <c r="G67" s="1">
        <v>1437784</v>
      </c>
      <c r="H67" s="1">
        <v>39189018</v>
      </c>
      <c r="I67" s="1">
        <v>1126461</v>
      </c>
      <c r="J67">
        <v>75</v>
      </c>
      <c r="K67">
        <v>87</v>
      </c>
      <c r="L67" t="s">
        <v>14</v>
      </c>
      <c r="M67">
        <f>mlb_payrolls[[#This Row],[Wins]] + mlb_payrolls[[#This Row],[Losses]]</f>
        <v>162</v>
      </c>
      <c r="N67" s="2">
        <f>IF(mlb_payrolls[[#This Row],[Games]] &gt;0, mlb_payrolls[[#This Row],[Wins]]/mlb_payrolls[[#This Row],[Games]], "")</f>
        <v>0.46296296296296297</v>
      </c>
      <c r="O67" s="1">
        <f>IFERROR(VALUE(mlb_payrolls[[#This Row],[Total Payroll Allocations]])/VALUE(mlb_payrolls[[#This Row],[Wins]]),"")</f>
        <v>979694.4</v>
      </c>
      <c r="P67" s="1">
        <f>SUM(mlb_payrolls[[#This Row],[Active 26-Man]],mlb_payrolls[[#This Row],[Injured]],mlb_payrolls[[#This Row],[Retained]],mlb_payrolls[[#This Row],[Buried]])</f>
        <v>68477080</v>
      </c>
      <c r="Q67" s="1">
        <f>mlb_payrolls[[#This Row],[Total Payroll Allocations]]-mlb_payrolls[[#This Row],[Payroll Parts Sum]]</f>
        <v>5000000</v>
      </c>
      <c r="R67" s="2">
        <f>IF(mlb_payrolls[[#This Row],[Total Payroll Allocations]]&gt;0, mlb_payrolls[[#This Row],[Active 26-Man]]/mlb_payrolls[[#This Row],[Total Payroll Allocations]],"")</f>
        <v>0.36370276282073266</v>
      </c>
      <c r="S67" s="2">
        <f>IF(mlb_payrolls[[#This Row],[Total Payroll Allocations]]&gt;0,mlb_payrolls[[#This Row],[Injured]]/mlb_payrolls[[#This Row],[Total Payroll Allocations]])</f>
        <v>1.9567789030266309E-2</v>
      </c>
      <c r="T67" s="3">
        <f>IF(mlb_payrolls[[#This Row],[Total Payroll Allocations]]&gt;0,mlb_payrolls[[#This Row],[Retained]]/mlb_payrolls[[#This Row],[Total Payroll Allocations]])</f>
        <v>0.53335023656356517</v>
      </c>
      <c r="U67" s="3">
        <f>IF(mlb_payrolls[[#This Row],[Total Payroll Allocations]]&gt;0,mlb_payrolls[[#This Row],[Buried]]/mlb_payrolls[[#This Row],[Total Payroll Allocations]])</f>
        <v>1.5330780700593981E-2</v>
      </c>
      <c r="V67">
        <f>IF(mlb_payrolls[[#This Row],[Postseason]]="No Playoffs",0,1)</f>
        <v>0</v>
      </c>
    </row>
    <row r="68" spans="1:22" x14ac:dyDescent="0.3">
      <c r="A68" t="s">
        <v>67</v>
      </c>
      <c r="B68" t="s">
        <v>68</v>
      </c>
      <c r="C68">
        <v>2011</v>
      </c>
      <c r="D68">
        <v>26.2</v>
      </c>
      <c r="E68" s="1">
        <v>73491604</v>
      </c>
      <c r="F68" s="1">
        <v>56304461</v>
      </c>
      <c r="G68" s="1">
        <v>0</v>
      </c>
      <c r="H68" s="1">
        <v>17187143</v>
      </c>
      <c r="I68" s="1">
        <v>0</v>
      </c>
      <c r="J68">
        <v>81</v>
      </c>
      <c r="K68">
        <v>81</v>
      </c>
      <c r="L68" t="s">
        <v>14</v>
      </c>
      <c r="M68">
        <f>mlb_payrolls[[#This Row],[Wins]] + mlb_payrolls[[#This Row],[Losses]]</f>
        <v>162</v>
      </c>
      <c r="N68" s="2">
        <f>IF(mlb_payrolls[[#This Row],[Games]] &gt;0, mlb_payrolls[[#This Row],[Wins]]/mlb_payrolls[[#This Row],[Games]], "")</f>
        <v>0.5</v>
      </c>
      <c r="O68" s="1">
        <f>IFERROR(VALUE(mlb_payrolls[[#This Row],[Total Payroll Allocations]])/VALUE(mlb_payrolls[[#This Row],[Wins]]),"")</f>
        <v>907303.75308641978</v>
      </c>
      <c r="P68" s="1">
        <f>SUM(mlb_payrolls[[#This Row],[Active 26-Man]],mlb_payrolls[[#This Row],[Injured]],mlb_payrolls[[#This Row],[Retained]],mlb_payrolls[[#This Row],[Buried]])</f>
        <v>73491604</v>
      </c>
      <c r="Q68" s="1">
        <f>mlb_payrolls[[#This Row],[Total Payroll Allocations]]-mlb_payrolls[[#This Row],[Payroll Parts Sum]]</f>
        <v>0</v>
      </c>
      <c r="R68" s="2">
        <f>IF(mlb_payrolls[[#This Row],[Total Payroll Allocations]]&gt;0, mlb_payrolls[[#This Row],[Active 26-Man]]/mlb_payrolls[[#This Row],[Total Payroll Allocations]],"")</f>
        <v>0.76613460498154318</v>
      </c>
      <c r="S68" s="2">
        <f>IF(mlb_payrolls[[#This Row],[Total Payroll Allocations]]&gt;0,mlb_payrolls[[#This Row],[Injured]]/mlb_payrolls[[#This Row],[Total Payroll Allocations]])</f>
        <v>0</v>
      </c>
      <c r="T68" s="3">
        <f>IF(mlb_payrolls[[#This Row],[Total Payroll Allocations]]&gt;0,mlb_payrolls[[#This Row],[Retained]]/mlb_payrolls[[#This Row],[Total Payroll Allocations]])</f>
        <v>0.2338653950184568</v>
      </c>
      <c r="U68" s="3">
        <f>IF(mlb_payrolls[[#This Row],[Total Payroll Allocations]]&gt;0,mlb_payrolls[[#This Row],[Buried]]/mlb_payrolls[[#This Row],[Total Payroll Allocations]])</f>
        <v>0</v>
      </c>
      <c r="V68">
        <f>IF(mlb_payrolls[[#This Row],[Postseason]]="No Playoffs",0,1)</f>
        <v>0</v>
      </c>
    </row>
    <row r="69" spans="1:22" x14ac:dyDescent="0.3">
      <c r="A69" t="s">
        <v>55</v>
      </c>
      <c r="B69" t="s">
        <v>56</v>
      </c>
      <c r="C69">
        <v>2020</v>
      </c>
      <c r="D69">
        <v>28.3</v>
      </c>
      <c r="E69" s="1">
        <v>73543547</v>
      </c>
      <c r="F69" s="1">
        <v>57105401</v>
      </c>
      <c r="G69" s="1">
        <v>13236891</v>
      </c>
      <c r="H69" s="1">
        <v>2662073</v>
      </c>
      <c r="I69" s="1">
        <v>539182</v>
      </c>
      <c r="J69">
        <v>28</v>
      </c>
      <c r="K69">
        <v>32</v>
      </c>
      <c r="L69" t="s">
        <v>14</v>
      </c>
      <c r="M69">
        <f>mlb_payrolls[[#This Row],[Wins]] + mlb_payrolls[[#This Row],[Losses]]</f>
        <v>60</v>
      </c>
      <c r="N69" s="2">
        <f>IF(mlb_payrolls[[#This Row],[Games]] &gt;0, mlb_payrolls[[#This Row],[Wins]]/mlb_payrolls[[#This Row],[Games]], "")</f>
        <v>0.46666666666666667</v>
      </c>
      <c r="O69" s="1">
        <f>IFERROR(VALUE(mlb_payrolls[[#This Row],[Total Payroll Allocations]])/VALUE(mlb_payrolls[[#This Row],[Wins]]),"")</f>
        <v>2626555.25</v>
      </c>
      <c r="P69" s="1">
        <f>SUM(mlb_payrolls[[#This Row],[Active 26-Man]],mlb_payrolls[[#This Row],[Injured]],mlb_payrolls[[#This Row],[Retained]],mlb_payrolls[[#This Row],[Buried]])</f>
        <v>73543547</v>
      </c>
      <c r="Q69" s="1">
        <f>mlb_payrolls[[#This Row],[Total Payroll Allocations]]-mlb_payrolls[[#This Row],[Payroll Parts Sum]]</f>
        <v>0</v>
      </c>
      <c r="R69" s="2">
        <f>IF(mlb_payrolls[[#This Row],[Total Payroll Allocations]]&gt;0, mlb_payrolls[[#This Row],[Active 26-Man]]/mlb_payrolls[[#This Row],[Total Payroll Allocations]],"")</f>
        <v>0.77648418290186627</v>
      </c>
      <c r="S69" s="2">
        <f>IF(mlb_payrolls[[#This Row],[Total Payroll Allocations]]&gt;0,mlb_payrolls[[#This Row],[Injured]]/mlb_payrolls[[#This Row],[Total Payroll Allocations]])</f>
        <v>0.17998711702061365</v>
      </c>
      <c r="T69" s="3">
        <f>IF(mlb_payrolls[[#This Row],[Total Payroll Allocations]]&gt;0,mlb_payrolls[[#This Row],[Retained]]/mlb_payrolls[[#This Row],[Total Payroll Allocations]])</f>
        <v>3.6197234272641217E-2</v>
      </c>
      <c r="U69" s="3">
        <f>IF(mlb_payrolls[[#This Row],[Total Payroll Allocations]]&gt;0,mlb_payrolls[[#This Row],[Buried]]/mlb_payrolls[[#This Row],[Total Payroll Allocations]])</f>
        <v>7.3314658048788429E-3</v>
      </c>
      <c r="V69">
        <f>IF(mlb_payrolls[[#This Row],[Postseason]]="No Playoffs",0,1)</f>
        <v>0</v>
      </c>
    </row>
    <row r="70" spans="1:22" x14ac:dyDescent="0.3">
      <c r="A70" t="s">
        <v>33</v>
      </c>
      <c r="B70" t="s">
        <v>34</v>
      </c>
      <c r="C70">
        <v>2011</v>
      </c>
      <c r="D70">
        <v>27.4</v>
      </c>
      <c r="E70" s="1">
        <v>74574723</v>
      </c>
      <c r="F70" s="1">
        <v>72574723</v>
      </c>
      <c r="G70" s="1">
        <v>0</v>
      </c>
      <c r="H70" s="1">
        <v>0</v>
      </c>
      <c r="I70" s="1">
        <v>2000000</v>
      </c>
      <c r="J70">
        <v>80</v>
      </c>
      <c r="K70">
        <v>81</v>
      </c>
      <c r="L70" t="s">
        <v>14</v>
      </c>
      <c r="M70">
        <f>mlb_payrolls[[#This Row],[Wins]] + mlb_payrolls[[#This Row],[Losses]]</f>
        <v>161</v>
      </c>
      <c r="N70" s="2">
        <f>IF(mlb_payrolls[[#This Row],[Games]] &gt;0, mlb_payrolls[[#This Row],[Wins]]/mlb_payrolls[[#This Row],[Games]], "")</f>
        <v>0.49689440993788819</v>
      </c>
      <c r="O70" s="1">
        <f>IFERROR(VALUE(mlb_payrolls[[#This Row],[Total Payroll Allocations]])/VALUE(mlb_payrolls[[#This Row],[Wins]]),"")</f>
        <v>932184.03749999998</v>
      </c>
      <c r="P70" s="1">
        <f>SUM(mlb_payrolls[[#This Row],[Active 26-Man]],mlb_payrolls[[#This Row],[Injured]],mlb_payrolls[[#This Row],[Retained]],mlb_payrolls[[#This Row],[Buried]])</f>
        <v>74574723</v>
      </c>
      <c r="Q70" s="1">
        <f>mlb_payrolls[[#This Row],[Total Payroll Allocations]]-mlb_payrolls[[#This Row],[Payroll Parts Sum]]</f>
        <v>0</v>
      </c>
      <c r="R70" s="2">
        <f>IF(mlb_payrolls[[#This Row],[Total Payroll Allocations]]&gt;0, mlb_payrolls[[#This Row],[Active 26-Man]]/mlb_payrolls[[#This Row],[Total Payroll Allocations]],"")</f>
        <v>0.97318126143090067</v>
      </c>
      <c r="S70" s="2">
        <f>IF(mlb_payrolls[[#This Row],[Total Payroll Allocations]]&gt;0,mlb_payrolls[[#This Row],[Injured]]/mlb_payrolls[[#This Row],[Total Payroll Allocations]])</f>
        <v>0</v>
      </c>
      <c r="T70" s="3">
        <f>IF(mlb_payrolls[[#This Row],[Total Payroll Allocations]]&gt;0,mlb_payrolls[[#This Row],[Retained]]/mlb_payrolls[[#This Row],[Total Payroll Allocations]])</f>
        <v>0</v>
      </c>
      <c r="U70" s="3">
        <f>IF(mlb_payrolls[[#This Row],[Total Payroll Allocations]]&gt;0,mlb_payrolls[[#This Row],[Buried]]/mlb_payrolls[[#This Row],[Total Payroll Allocations]])</f>
        <v>2.6818738569099346E-2</v>
      </c>
      <c r="V70">
        <f>IF(mlb_payrolls[[#This Row],[Postseason]]="No Playoffs",0,1)</f>
        <v>0</v>
      </c>
    </row>
    <row r="71" spans="1:22" x14ac:dyDescent="0.3">
      <c r="A71" t="s">
        <v>15</v>
      </c>
      <c r="B71" t="s">
        <v>16</v>
      </c>
      <c r="C71">
        <v>2023</v>
      </c>
      <c r="D71">
        <v>25.6</v>
      </c>
      <c r="E71" s="1">
        <v>74670975</v>
      </c>
      <c r="F71" s="1">
        <v>30946061</v>
      </c>
      <c r="G71" s="1">
        <v>22463351</v>
      </c>
      <c r="H71" s="1">
        <v>17801293</v>
      </c>
      <c r="I71" s="1">
        <v>3460270</v>
      </c>
      <c r="J71">
        <v>76</v>
      </c>
      <c r="K71">
        <v>86</v>
      </c>
      <c r="L71" t="s">
        <v>14</v>
      </c>
      <c r="M71">
        <f>mlb_payrolls[[#This Row],[Wins]] + mlb_payrolls[[#This Row],[Losses]]</f>
        <v>162</v>
      </c>
      <c r="N71" s="2">
        <f>IF(mlb_payrolls[[#This Row],[Games]] &gt;0, mlb_payrolls[[#This Row],[Wins]]/mlb_payrolls[[#This Row],[Games]], "")</f>
        <v>0.46913580246913578</v>
      </c>
      <c r="O71" s="1">
        <f>IFERROR(VALUE(mlb_payrolls[[#This Row],[Total Payroll Allocations]])/VALUE(mlb_payrolls[[#This Row],[Wins]]),"")</f>
        <v>982512.82894736843</v>
      </c>
      <c r="P71" s="1">
        <f>SUM(mlb_payrolls[[#This Row],[Active 26-Man]],mlb_payrolls[[#This Row],[Injured]],mlb_payrolls[[#This Row],[Retained]],mlb_payrolls[[#This Row],[Buried]])</f>
        <v>74670975</v>
      </c>
      <c r="Q71" s="1">
        <f>mlb_payrolls[[#This Row],[Total Payroll Allocations]]-mlb_payrolls[[#This Row],[Payroll Parts Sum]]</f>
        <v>0</v>
      </c>
      <c r="R71" s="2">
        <f>IF(mlb_payrolls[[#This Row],[Total Payroll Allocations]]&gt;0, mlb_payrolls[[#This Row],[Active 26-Man]]/mlb_payrolls[[#This Row],[Total Payroll Allocations]],"")</f>
        <v>0.41443226099565461</v>
      </c>
      <c r="S71" s="2">
        <f>IF(mlb_payrolls[[#This Row],[Total Payroll Allocations]]&gt;0,mlb_payrolls[[#This Row],[Injured]]/mlb_payrolls[[#This Row],[Total Payroll Allocations]])</f>
        <v>0.30083109267021091</v>
      </c>
      <c r="T71" s="3">
        <f>IF(mlb_payrolls[[#This Row],[Total Payroll Allocations]]&gt;0,mlb_payrolls[[#This Row],[Retained]]/mlb_payrolls[[#This Row],[Total Payroll Allocations]])</f>
        <v>0.23839641842094603</v>
      </c>
      <c r="U71" s="3">
        <f>IF(mlb_payrolls[[#This Row],[Total Payroll Allocations]]&gt;0,mlb_payrolls[[#This Row],[Buried]]/mlb_payrolls[[#This Row],[Total Payroll Allocations]])</f>
        <v>4.6340227913188488E-2</v>
      </c>
      <c r="V71">
        <f>IF(mlb_payrolls[[#This Row],[Postseason]]="No Playoffs",0,1)</f>
        <v>0</v>
      </c>
    </row>
    <row r="72" spans="1:22" x14ac:dyDescent="0.3">
      <c r="A72" t="s">
        <v>33</v>
      </c>
      <c r="B72" t="s">
        <v>34</v>
      </c>
      <c r="C72">
        <v>2020</v>
      </c>
      <c r="D72">
        <v>29.5</v>
      </c>
      <c r="E72" s="1">
        <v>74697333</v>
      </c>
      <c r="F72" s="1">
        <v>45664863</v>
      </c>
      <c r="G72" s="1">
        <v>20500582</v>
      </c>
      <c r="H72" s="1">
        <v>7137096</v>
      </c>
      <c r="I72" s="1">
        <v>98495</v>
      </c>
      <c r="J72">
        <v>26</v>
      </c>
      <c r="K72">
        <v>34</v>
      </c>
      <c r="L72" t="s">
        <v>14</v>
      </c>
      <c r="M72">
        <f>mlb_payrolls[[#This Row],[Wins]] + mlb_payrolls[[#This Row],[Losses]]</f>
        <v>60</v>
      </c>
      <c r="N72" s="2">
        <f>IF(mlb_payrolls[[#This Row],[Games]] &gt;0, mlb_payrolls[[#This Row],[Wins]]/mlb_payrolls[[#This Row],[Games]], "")</f>
        <v>0.43333333333333335</v>
      </c>
      <c r="O72" s="1">
        <f>IFERROR(VALUE(mlb_payrolls[[#This Row],[Total Payroll Allocations]])/VALUE(mlb_payrolls[[#This Row],[Wins]]),"")</f>
        <v>2872974.346153846</v>
      </c>
      <c r="P72" s="1">
        <f>SUM(mlb_payrolls[[#This Row],[Active 26-Man]],mlb_payrolls[[#This Row],[Injured]],mlb_payrolls[[#This Row],[Retained]],mlb_payrolls[[#This Row],[Buried]])</f>
        <v>73401036</v>
      </c>
      <c r="Q72" s="1">
        <f>mlb_payrolls[[#This Row],[Total Payroll Allocations]]-mlb_payrolls[[#This Row],[Payroll Parts Sum]]</f>
        <v>1296297</v>
      </c>
      <c r="R72" s="2">
        <f>IF(mlb_payrolls[[#This Row],[Total Payroll Allocations]]&gt;0, mlb_payrolls[[#This Row],[Active 26-Man]]/mlb_payrolls[[#This Row],[Total Payroll Allocations]],"")</f>
        <v>0.61133190658895409</v>
      </c>
      <c r="S72" s="2">
        <f>IF(mlb_payrolls[[#This Row],[Total Payroll Allocations]]&gt;0,mlb_payrolls[[#This Row],[Injured]]/mlb_payrolls[[#This Row],[Total Payroll Allocations]])</f>
        <v>0.27444864731649787</v>
      </c>
      <c r="T72" s="3">
        <f>IF(mlb_payrolls[[#This Row],[Total Payroll Allocations]]&gt;0,mlb_payrolls[[#This Row],[Retained]]/mlb_payrolls[[#This Row],[Total Payroll Allocations]])</f>
        <v>9.5546865106951012E-2</v>
      </c>
      <c r="U72" s="3">
        <f>IF(mlb_payrolls[[#This Row],[Total Payroll Allocations]]&gt;0,mlb_payrolls[[#This Row],[Buried]]/mlb_payrolls[[#This Row],[Total Payroll Allocations]])</f>
        <v>1.3185879072817768E-3</v>
      </c>
      <c r="V72">
        <f>IF(mlb_payrolls[[#This Row],[Postseason]]="No Playoffs",0,1)</f>
        <v>0</v>
      </c>
    </row>
    <row r="73" spans="1:22" x14ac:dyDescent="0.3">
      <c r="A73" t="s">
        <v>17</v>
      </c>
      <c r="B73" t="s">
        <v>18</v>
      </c>
      <c r="C73">
        <v>2023</v>
      </c>
      <c r="D73">
        <v>27.5</v>
      </c>
      <c r="E73" s="1">
        <v>74948362</v>
      </c>
      <c r="F73" s="1">
        <v>50544710</v>
      </c>
      <c r="G73" s="1">
        <v>15788201</v>
      </c>
      <c r="H73" s="1">
        <v>2956334</v>
      </c>
      <c r="I73" s="1">
        <v>1004572</v>
      </c>
      <c r="J73">
        <v>99</v>
      </c>
      <c r="K73">
        <v>63</v>
      </c>
      <c r="L73" t="s">
        <v>21</v>
      </c>
      <c r="M73">
        <f>mlb_payrolls[[#This Row],[Wins]] + mlb_payrolls[[#This Row],[Losses]]</f>
        <v>162</v>
      </c>
      <c r="N73" s="2">
        <f>IF(mlb_payrolls[[#This Row],[Games]] &gt;0, mlb_payrolls[[#This Row],[Wins]]/mlb_payrolls[[#This Row],[Games]], "")</f>
        <v>0.61111111111111116</v>
      </c>
      <c r="O73" s="1">
        <f>IFERROR(VALUE(mlb_payrolls[[#This Row],[Total Payroll Allocations]])/VALUE(mlb_payrolls[[#This Row],[Wins]]),"")</f>
        <v>757054.16161616158</v>
      </c>
      <c r="P73" s="1">
        <f>SUM(mlb_payrolls[[#This Row],[Active 26-Man]],mlb_payrolls[[#This Row],[Injured]],mlb_payrolls[[#This Row],[Retained]],mlb_payrolls[[#This Row],[Buried]])</f>
        <v>70293817</v>
      </c>
      <c r="Q73" s="1">
        <f>mlb_payrolls[[#This Row],[Total Payroll Allocations]]-mlb_payrolls[[#This Row],[Payroll Parts Sum]]</f>
        <v>4654545</v>
      </c>
      <c r="R73" s="2">
        <f>IF(mlb_payrolls[[#This Row],[Total Payroll Allocations]]&gt;0, mlb_payrolls[[#This Row],[Active 26-Man]]/mlb_payrolls[[#This Row],[Total Payroll Allocations]],"")</f>
        <v>0.67439379128792698</v>
      </c>
      <c r="S73" s="2">
        <f>IF(mlb_payrolls[[#This Row],[Total Payroll Allocations]]&gt;0,mlb_payrolls[[#This Row],[Injured]]/mlb_payrolls[[#This Row],[Total Payroll Allocations]])</f>
        <v>0.21065438361414757</v>
      </c>
      <c r="T73" s="3">
        <f>IF(mlb_payrolls[[#This Row],[Total Payroll Allocations]]&gt;0,mlb_payrolls[[#This Row],[Retained]]/mlb_payrolls[[#This Row],[Total Payroll Allocations]])</f>
        <v>3.9444944774109938E-2</v>
      </c>
      <c r="U73" s="3">
        <f>IF(mlb_payrolls[[#This Row],[Total Payroll Allocations]]&gt;0,mlb_payrolls[[#This Row],[Buried]]/mlb_payrolls[[#This Row],[Total Payroll Allocations]])</f>
        <v>1.3403521747413239E-2</v>
      </c>
      <c r="V73">
        <f>IF(mlb_payrolls[[#This Row],[Postseason]]="No Playoffs",0,1)</f>
        <v>1</v>
      </c>
    </row>
    <row r="74" spans="1:22" x14ac:dyDescent="0.3">
      <c r="A74" t="s">
        <v>12</v>
      </c>
      <c r="B74" t="s">
        <v>13</v>
      </c>
      <c r="C74">
        <v>2011</v>
      </c>
      <c r="D74">
        <v>27.3</v>
      </c>
      <c r="E74" s="1">
        <v>75241048</v>
      </c>
      <c r="F74" s="1">
        <v>68725475</v>
      </c>
      <c r="G74" s="1">
        <v>0</v>
      </c>
      <c r="H74" s="1">
        <v>6515573</v>
      </c>
      <c r="I74" s="1">
        <v>0</v>
      </c>
      <c r="J74">
        <v>74</v>
      </c>
      <c r="K74">
        <v>88</v>
      </c>
      <c r="L74" t="s">
        <v>14</v>
      </c>
      <c r="M74">
        <f>mlb_payrolls[[#This Row],[Wins]] + mlb_payrolls[[#This Row],[Losses]]</f>
        <v>162</v>
      </c>
      <c r="N74" s="2">
        <f>IF(mlb_payrolls[[#This Row],[Games]] &gt;0, mlb_payrolls[[#This Row],[Wins]]/mlb_payrolls[[#This Row],[Games]], "")</f>
        <v>0.4567901234567901</v>
      </c>
      <c r="O74" s="1">
        <f>IFERROR(VALUE(mlb_payrolls[[#This Row],[Total Payroll Allocations]])/VALUE(mlb_payrolls[[#This Row],[Wins]]),"")</f>
        <v>1016770.9189189189</v>
      </c>
      <c r="P74" s="1">
        <f>SUM(mlb_payrolls[[#This Row],[Active 26-Man]],mlb_payrolls[[#This Row],[Injured]],mlb_payrolls[[#This Row],[Retained]],mlb_payrolls[[#This Row],[Buried]])</f>
        <v>75241048</v>
      </c>
      <c r="Q74" s="1">
        <f>mlb_payrolls[[#This Row],[Total Payroll Allocations]]-mlb_payrolls[[#This Row],[Payroll Parts Sum]]</f>
        <v>0</v>
      </c>
      <c r="R74" s="2">
        <f>IF(mlb_payrolls[[#This Row],[Total Payroll Allocations]]&gt;0, mlb_payrolls[[#This Row],[Active 26-Man]]/mlb_payrolls[[#This Row],[Total Payroll Allocations]],"")</f>
        <v>0.91340401053424991</v>
      </c>
      <c r="S74" s="2">
        <f>IF(mlb_payrolls[[#This Row],[Total Payroll Allocations]]&gt;0,mlb_payrolls[[#This Row],[Injured]]/mlb_payrolls[[#This Row],[Total Payroll Allocations]])</f>
        <v>0</v>
      </c>
      <c r="T74" s="3">
        <f>IF(mlb_payrolls[[#This Row],[Total Payroll Allocations]]&gt;0,mlb_payrolls[[#This Row],[Retained]]/mlb_payrolls[[#This Row],[Total Payroll Allocations]])</f>
        <v>8.6595989465750131E-2</v>
      </c>
      <c r="U74" s="3">
        <f>IF(mlb_payrolls[[#This Row],[Total Payroll Allocations]]&gt;0,mlb_payrolls[[#This Row],[Buried]]/mlb_payrolls[[#This Row],[Total Payroll Allocations]])</f>
        <v>0</v>
      </c>
      <c r="V74">
        <f>IF(mlb_payrolls[[#This Row],[Postseason]]="No Playoffs",0,1)</f>
        <v>0</v>
      </c>
    </row>
    <row r="75" spans="1:22" x14ac:dyDescent="0.3">
      <c r="A75" t="s">
        <v>35</v>
      </c>
      <c r="B75" t="s">
        <v>36</v>
      </c>
      <c r="C75">
        <v>2019</v>
      </c>
      <c r="D75">
        <v>27.4</v>
      </c>
      <c r="E75" s="1">
        <v>75596271</v>
      </c>
      <c r="F75" s="1">
        <v>66602760</v>
      </c>
      <c r="G75" s="1">
        <v>3001903</v>
      </c>
      <c r="H75" s="1">
        <v>4968020</v>
      </c>
      <c r="I75" s="1">
        <v>1023588</v>
      </c>
      <c r="J75">
        <v>57</v>
      </c>
      <c r="K75">
        <v>105</v>
      </c>
      <c r="L75" t="s">
        <v>14</v>
      </c>
      <c r="M75">
        <f>mlb_payrolls[[#This Row],[Wins]] + mlb_payrolls[[#This Row],[Losses]]</f>
        <v>162</v>
      </c>
      <c r="N75" s="2">
        <f>IF(mlb_payrolls[[#This Row],[Games]] &gt;0, mlb_payrolls[[#This Row],[Wins]]/mlb_payrolls[[#This Row],[Games]], "")</f>
        <v>0.35185185185185186</v>
      </c>
      <c r="O75" s="1">
        <f>IFERROR(VALUE(mlb_payrolls[[#This Row],[Total Payroll Allocations]])/VALUE(mlb_payrolls[[#This Row],[Wins]]),"")</f>
        <v>1326250.3684210526</v>
      </c>
      <c r="P75" s="1">
        <f>SUM(mlb_payrolls[[#This Row],[Active 26-Man]],mlb_payrolls[[#This Row],[Injured]],mlb_payrolls[[#This Row],[Retained]],mlb_payrolls[[#This Row],[Buried]])</f>
        <v>75596271</v>
      </c>
      <c r="Q75" s="1">
        <f>mlb_payrolls[[#This Row],[Total Payroll Allocations]]-mlb_payrolls[[#This Row],[Payroll Parts Sum]]</f>
        <v>0</v>
      </c>
      <c r="R75" s="2">
        <f>IF(mlb_payrolls[[#This Row],[Total Payroll Allocations]]&gt;0, mlb_payrolls[[#This Row],[Active 26-Man]]/mlb_payrolls[[#This Row],[Total Payroll Allocations]],"")</f>
        <v>0.88103234615897918</v>
      </c>
      <c r="S75" s="2">
        <f>IF(mlb_payrolls[[#This Row],[Total Payroll Allocations]]&gt;0,mlb_payrolls[[#This Row],[Injured]]/mlb_payrolls[[#This Row],[Total Payroll Allocations]])</f>
        <v>3.970967033545874E-2</v>
      </c>
      <c r="T75" s="3">
        <f>IF(mlb_payrolls[[#This Row],[Total Payroll Allocations]]&gt;0,mlb_payrolls[[#This Row],[Retained]]/mlb_payrolls[[#This Row],[Total Payroll Allocations]])</f>
        <v>6.5717791820710317E-2</v>
      </c>
      <c r="U75" s="3">
        <f>IF(mlb_payrolls[[#This Row],[Total Payroll Allocations]]&gt;0,mlb_payrolls[[#This Row],[Buried]]/mlb_payrolls[[#This Row],[Total Payroll Allocations]])</f>
        <v>1.3540191684851757E-2</v>
      </c>
      <c r="V75">
        <f>IF(mlb_payrolls[[#This Row],[Postseason]]="No Playoffs",0,1)</f>
        <v>0</v>
      </c>
    </row>
    <row r="76" spans="1:22" x14ac:dyDescent="0.3">
      <c r="A76" t="s">
        <v>35</v>
      </c>
      <c r="B76" t="s">
        <v>36</v>
      </c>
      <c r="C76">
        <v>2016</v>
      </c>
      <c r="D76">
        <v>28</v>
      </c>
      <c r="E76" s="1">
        <v>76365306</v>
      </c>
      <c r="F76" s="1">
        <v>60842038</v>
      </c>
      <c r="G76" s="1">
        <v>3300000</v>
      </c>
      <c r="H76" s="1">
        <v>10032559</v>
      </c>
      <c r="I76" s="1">
        <v>2190709</v>
      </c>
      <c r="J76">
        <v>79</v>
      </c>
      <c r="K76">
        <v>82</v>
      </c>
      <c r="L76" t="s">
        <v>14</v>
      </c>
      <c r="M76">
        <f>mlb_payrolls[[#This Row],[Wins]] + mlb_payrolls[[#This Row],[Losses]]</f>
        <v>161</v>
      </c>
      <c r="N76" s="2">
        <f>IF(mlb_payrolls[[#This Row],[Games]] &gt;0, mlb_payrolls[[#This Row],[Wins]]/mlb_payrolls[[#This Row],[Games]], "")</f>
        <v>0.49068322981366458</v>
      </c>
      <c r="O76" s="1">
        <f>IFERROR(VALUE(mlb_payrolls[[#This Row],[Total Payroll Allocations]])/VALUE(mlb_payrolls[[#This Row],[Wins]]),"")</f>
        <v>966649.44303797465</v>
      </c>
      <c r="P76" s="1">
        <f>SUM(mlb_payrolls[[#This Row],[Active 26-Man]],mlb_payrolls[[#This Row],[Injured]],mlb_payrolls[[#This Row],[Retained]],mlb_payrolls[[#This Row],[Buried]])</f>
        <v>76365306</v>
      </c>
      <c r="Q76" s="1">
        <f>mlb_payrolls[[#This Row],[Total Payroll Allocations]]-mlb_payrolls[[#This Row],[Payroll Parts Sum]]</f>
        <v>0</v>
      </c>
      <c r="R76" s="2">
        <f>IF(mlb_payrolls[[#This Row],[Total Payroll Allocations]]&gt;0, mlb_payrolls[[#This Row],[Active 26-Man]]/mlb_payrolls[[#This Row],[Total Payroll Allocations]],"")</f>
        <v>0.79672355401810346</v>
      </c>
      <c r="S76" s="2">
        <f>IF(mlb_payrolls[[#This Row],[Total Payroll Allocations]]&gt;0,mlb_payrolls[[#This Row],[Injured]]/mlb_payrolls[[#This Row],[Total Payroll Allocations]])</f>
        <v>4.3213340885453928E-2</v>
      </c>
      <c r="T76" s="3">
        <f>IF(mlb_payrolls[[#This Row],[Total Payroll Allocations]]&gt;0,mlb_payrolls[[#This Row],[Retained]]/mlb_payrolls[[#This Row],[Total Payroll Allocations]])</f>
        <v>0.13137587636982689</v>
      </c>
      <c r="U76" s="3">
        <f>IF(mlb_payrolls[[#This Row],[Total Payroll Allocations]]&gt;0,mlb_payrolls[[#This Row],[Buried]]/mlb_payrolls[[#This Row],[Total Payroll Allocations]])</f>
        <v>2.8687228726615721E-2</v>
      </c>
      <c r="V76">
        <f>IF(mlb_payrolls[[#This Row],[Postseason]]="No Playoffs",0,1)</f>
        <v>0</v>
      </c>
    </row>
    <row r="77" spans="1:22" x14ac:dyDescent="0.3">
      <c r="A77" t="s">
        <v>22</v>
      </c>
      <c r="B77" t="s">
        <v>23</v>
      </c>
      <c r="C77">
        <v>2012</v>
      </c>
      <c r="D77">
        <v>27.2</v>
      </c>
      <c r="E77" s="1">
        <v>76577243</v>
      </c>
      <c r="F77" s="1">
        <v>70583254</v>
      </c>
      <c r="G77" s="1">
        <v>0</v>
      </c>
      <c r="H77" s="1">
        <v>5993989</v>
      </c>
      <c r="I77" s="1">
        <v>0</v>
      </c>
      <c r="J77">
        <v>68</v>
      </c>
      <c r="K77">
        <v>94</v>
      </c>
      <c r="L77" t="s">
        <v>14</v>
      </c>
      <c r="M77">
        <f>mlb_payrolls[[#This Row],[Wins]] + mlb_payrolls[[#This Row],[Losses]]</f>
        <v>162</v>
      </c>
      <c r="N77" s="2">
        <f>IF(mlb_payrolls[[#This Row],[Games]] &gt;0, mlb_payrolls[[#This Row],[Wins]]/mlb_payrolls[[#This Row],[Games]], "")</f>
        <v>0.41975308641975306</v>
      </c>
      <c r="O77" s="1">
        <f>IFERROR(VALUE(mlb_payrolls[[#This Row],[Total Payroll Allocations]])/VALUE(mlb_payrolls[[#This Row],[Wins]]),"")</f>
        <v>1126135.9264705882</v>
      </c>
      <c r="P77" s="1">
        <f>SUM(mlb_payrolls[[#This Row],[Active 26-Man]],mlb_payrolls[[#This Row],[Injured]],mlb_payrolls[[#This Row],[Retained]],mlb_payrolls[[#This Row],[Buried]])</f>
        <v>76577243</v>
      </c>
      <c r="Q77" s="1">
        <f>mlb_payrolls[[#This Row],[Total Payroll Allocations]]-mlb_payrolls[[#This Row],[Payroll Parts Sum]]</f>
        <v>0</v>
      </c>
      <c r="R77" s="2">
        <f>IF(mlb_payrolls[[#This Row],[Total Payroll Allocations]]&gt;0, mlb_payrolls[[#This Row],[Active 26-Man]]/mlb_payrolls[[#This Row],[Total Payroll Allocations]],"")</f>
        <v>0.92172623660530584</v>
      </c>
      <c r="S77" s="2">
        <f>IF(mlb_payrolls[[#This Row],[Total Payroll Allocations]]&gt;0,mlb_payrolls[[#This Row],[Injured]]/mlb_payrolls[[#This Row],[Total Payroll Allocations]])</f>
        <v>0</v>
      </c>
      <c r="T77" s="3">
        <f>IF(mlb_payrolls[[#This Row],[Total Payroll Allocations]]&gt;0,mlb_payrolls[[#This Row],[Retained]]/mlb_payrolls[[#This Row],[Total Payroll Allocations]])</f>
        <v>7.8273763394694162E-2</v>
      </c>
      <c r="U77" s="3">
        <f>IF(mlb_payrolls[[#This Row],[Total Payroll Allocations]]&gt;0,mlb_payrolls[[#This Row],[Buried]]/mlb_payrolls[[#This Row],[Total Payroll Allocations]])</f>
        <v>0</v>
      </c>
      <c r="V77">
        <f>IF(mlb_payrolls[[#This Row],[Postseason]]="No Playoffs",0,1)</f>
        <v>0</v>
      </c>
    </row>
    <row r="78" spans="1:22" x14ac:dyDescent="0.3">
      <c r="A78" t="s">
        <v>49</v>
      </c>
      <c r="B78" t="s">
        <v>50</v>
      </c>
      <c r="C78">
        <v>2013</v>
      </c>
      <c r="D78">
        <v>27.9</v>
      </c>
      <c r="E78" s="1">
        <v>76741788</v>
      </c>
      <c r="F78" s="1">
        <v>73766018</v>
      </c>
      <c r="G78" s="1">
        <v>0</v>
      </c>
      <c r="H78" s="1">
        <v>1459705</v>
      </c>
      <c r="I78" s="1">
        <v>1516065</v>
      </c>
      <c r="J78">
        <v>74</v>
      </c>
      <c r="K78">
        <v>88</v>
      </c>
      <c r="L78" t="s">
        <v>14</v>
      </c>
      <c r="M78">
        <f>mlb_payrolls[[#This Row],[Wins]] + mlb_payrolls[[#This Row],[Losses]]</f>
        <v>162</v>
      </c>
      <c r="N78" s="2">
        <f>IF(mlb_payrolls[[#This Row],[Games]] &gt;0, mlb_payrolls[[#This Row],[Wins]]/mlb_payrolls[[#This Row],[Games]], "")</f>
        <v>0.4567901234567901</v>
      </c>
      <c r="O78" s="1">
        <f>IFERROR(VALUE(mlb_payrolls[[#This Row],[Total Payroll Allocations]])/VALUE(mlb_payrolls[[#This Row],[Wins]]),"")</f>
        <v>1037051.1891891892</v>
      </c>
      <c r="P78" s="1">
        <f>SUM(mlb_payrolls[[#This Row],[Active 26-Man]],mlb_payrolls[[#This Row],[Injured]],mlb_payrolls[[#This Row],[Retained]],mlb_payrolls[[#This Row],[Buried]])</f>
        <v>76741788</v>
      </c>
      <c r="Q78" s="1">
        <f>mlb_payrolls[[#This Row],[Total Payroll Allocations]]-mlb_payrolls[[#This Row],[Payroll Parts Sum]]</f>
        <v>0</v>
      </c>
      <c r="R78" s="2">
        <f>IF(mlb_payrolls[[#This Row],[Total Payroll Allocations]]&gt;0, mlb_payrolls[[#This Row],[Active 26-Man]]/mlb_payrolls[[#This Row],[Total Payroll Allocations]],"")</f>
        <v>0.96122360349487812</v>
      </c>
      <c r="S78" s="2">
        <f>IF(mlb_payrolls[[#This Row],[Total Payroll Allocations]]&gt;0,mlb_payrolls[[#This Row],[Injured]]/mlb_payrolls[[#This Row],[Total Payroll Allocations]])</f>
        <v>0</v>
      </c>
      <c r="T78" s="3">
        <f>IF(mlb_payrolls[[#This Row],[Total Payroll Allocations]]&gt;0,mlb_payrolls[[#This Row],[Retained]]/mlb_payrolls[[#This Row],[Total Payroll Allocations]])</f>
        <v>1.902099283899927E-2</v>
      </c>
      <c r="U78" s="3">
        <f>IF(mlb_payrolls[[#This Row],[Total Payroll Allocations]]&gt;0,mlb_payrolls[[#This Row],[Buried]]/mlb_payrolls[[#This Row],[Total Payroll Allocations]])</f>
        <v>1.9755403666122558E-2</v>
      </c>
      <c r="V78">
        <f>IF(mlb_payrolls[[#This Row],[Postseason]]="No Playoffs",0,1)</f>
        <v>0</v>
      </c>
    </row>
    <row r="79" spans="1:22" x14ac:dyDescent="0.3">
      <c r="A79" t="s">
        <v>43</v>
      </c>
      <c r="B79" t="s">
        <v>44</v>
      </c>
      <c r="C79">
        <v>2015</v>
      </c>
      <c r="D79">
        <v>26</v>
      </c>
      <c r="E79" s="1">
        <v>76781801</v>
      </c>
      <c r="F79" s="1">
        <v>45142733</v>
      </c>
      <c r="G79" s="1">
        <v>1026500</v>
      </c>
      <c r="H79" s="1">
        <v>30465028</v>
      </c>
      <c r="I79" s="1">
        <v>147540</v>
      </c>
      <c r="J79">
        <v>79</v>
      </c>
      <c r="K79">
        <v>83</v>
      </c>
      <c r="L79" t="s">
        <v>14</v>
      </c>
      <c r="M79">
        <f>mlb_payrolls[[#This Row],[Wins]] + mlb_payrolls[[#This Row],[Losses]]</f>
        <v>162</v>
      </c>
      <c r="N79" s="2">
        <f>IF(mlb_payrolls[[#This Row],[Games]] &gt;0, mlb_payrolls[[#This Row],[Wins]]/mlb_payrolls[[#This Row],[Games]], "")</f>
        <v>0.48765432098765432</v>
      </c>
      <c r="O79" s="1">
        <f>IFERROR(VALUE(mlb_payrolls[[#This Row],[Total Payroll Allocations]])/VALUE(mlb_payrolls[[#This Row],[Wins]]),"")</f>
        <v>971921.5316455696</v>
      </c>
      <c r="P79" s="1">
        <f>SUM(mlb_payrolls[[#This Row],[Active 26-Man]],mlb_payrolls[[#This Row],[Injured]],mlb_payrolls[[#This Row],[Retained]],mlb_payrolls[[#This Row],[Buried]])</f>
        <v>76781801</v>
      </c>
      <c r="Q79" s="1">
        <f>mlb_payrolls[[#This Row],[Total Payroll Allocations]]-mlb_payrolls[[#This Row],[Payroll Parts Sum]]</f>
        <v>0</v>
      </c>
      <c r="R79" s="2">
        <f>IF(mlb_payrolls[[#This Row],[Total Payroll Allocations]]&gt;0, mlb_payrolls[[#This Row],[Active 26-Man]]/mlb_payrolls[[#This Row],[Total Payroll Allocations]],"")</f>
        <v>0.58793532337174537</v>
      </c>
      <c r="S79" s="2">
        <f>IF(mlb_payrolls[[#This Row],[Total Payroll Allocations]]&gt;0,mlb_payrolls[[#This Row],[Injured]]/mlb_payrolls[[#This Row],[Total Payroll Allocations]])</f>
        <v>1.336905342973135E-2</v>
      </c>
      <c r="T79" s="3">
        <f>IF(mlb_payrolls[[#This Row],[Total Payroll Allocations]]&gt;0,mlb_payrolls[[#This Row],[Retained]]/mlb_payrolls[[#This Row],[Total Payroll Allocations]])</f>
        <v>0.39677407410644094</v>
      </c>
      <c r="U79" s="3">
        <f>IF(mlb_payrolls[[#This Row],[Total Payroll Allocations]]&gt;0,mlb_payrolls[[#This Row],[Buried]]/mlb_payrolls[[#This Row],[Total Payroll Allocations]])</f>
        <v>1.9215490920823804E-3</v>
      </c>
      <c r="V79">
        <f>IF(mlb_payrolls[[#This Row],[Postseason]]="No Playoffs",0,1)</f>
        <v>0</v>
      </c>
    </row>
    <row r="80" spans="1:22" x14ac:dyDescent="0.3">
      <c r="A80" t="s">
        <v>15</v>
      </c>
      <c r="B80" t="s">
        <v>16</v>
      </c>
      <c r="C80">
        <v>2014</v>
      </c>
      <c r="D80">
        <v>27.6</v>
      </c>
      <c r="E80" s="1">
        <v>76802804</v>
      </c>
      <c r="F80" s="1">
        <v>69388939</v>
      </c>
      <c r="G80" s="1">
        <v>0</v>
      </c>
      <c r="H80" s="1">
        <v>7320970</v>
      </c>
      <c r="I80" s="1">
        <v>92895</v>
      </c>
      <c r="J80">
        <v>88</v>
      </c>
      <c r="K80">
        <v>74</v>
      </c>
      <c r="L80" t="s">
        <v>21</v>
      </c>
      <c r="M80">
        <f>mlb_payrolls[[#This Row],[Wins]] + mlb_payrolls[[#This Row],[Losses]]</f>
        <v>162</v>
      </c>
      <c r="N80" s="2">
        <f>IF(mlb_payrolls[[#This Row],[Games]] &gt;0, mlb_payrolls[[#This Row],[Wins]]/mlb_payrolls[[#This Row],[Games]], "")</f>
        <v>0.54320987654320985</v>
      </c>
      <c r="O80" s="1">
        <f>IFERROR(VALUE(mlb_payrolls[[#This Row],[Total Payroll Allocations]])/VALUE(mlb_payrolls[[#This Row],[Wins]]),"")</f>
        <v>872759.13636363635</v>
      </c>
      <c r="P80" s="1">
        <f>SUM(mlb_payrolls[[#This Row],[Active 26-Man]],mlb_payrolls[[#This Row],[Injured]],mlb_payrolls[[#This Row],[Retained]],mlb_payrolls[[#This Row],[Buried]])</f>
        <v>76802804</v>
      </c>
      <c r="Q80" s="1">
        <f>mlb_payrolls[[#This Row],[Total Payroll Allocations]]-mlb_payrolls[[#This Row],[Payroll Parts Sum]]</f>
        <v>0</v>
      </c>
      <c r="R80" s="2">
        <f>IF(mlb_payrolls[[#This Row],[Total Payroll Allocations]]&gt;0, mlb_payrolls[[#This Row],[Active 26-Man]]/mlb_payrolls[[#This Row],[Total Payroll Allocations]],"")</f>
        <v>0.90346882387262839</v>
      </c>
      <c r="S80" s="2">
        <f>IF(mlb_payrolls[[#This Row],[Total Payroll Allocations]]&gt;0,mlb_payrolls[[#This Row],[Injured]]/mlb_payrolls[[#This Row],[Total Payroll Allocations]])</f>
        <v>0</v>
      </c>
      <c r="T80" s="3">
        <f>IF(mlb_payrolls[[#This Row],[Total Payroll Allocations]]&gt;0,mlb_payrolls[[#This Row],[Retained]]/mlb_payrolls[[#This Row],[Total Payroll Allocations]])</f>
        <v>9.5321649975175379E-2</v>
      </c>
      <c r="U80" s="3">
        <f>IF(mlb_payrolls[[#This Row],[Total Payroll Allocations]]&gt;0,mlb_payrolls[[#This Row],[Buried]]/mlb_payrolls[[#This Row],[Total Payroll Allocations]])</f>
        <v>1.209526152196214E-3</v>
      </c>
      <c r="V80">
        <f>IF(mlb_payrolls[[#This Row],[Postseason]]="No Playoffs",0,1)</f>
        <v>1</v>
      </c>
    </row>
    <row r="81" spans="1:22" x14ac:dyDescent="0.3">
      <c r="A81" t="s">
        <v>17</v>
      </c>
      <c r="B81" t="s">
        <v>18</v>
      </c>
      <c r="C81">
        <v>2014</v>
      </c>
      <c r="D81">
        <v>28</v>
      </c>
      <c r="E81" s="1">
        <v>76821046</v>
      </c>
      <c r="F81" s="1">
        <v>63704707</v>
      </c>
      <c r="G81" s="1">
        <v>0</v>
      </c>
      <c r="H81" s="1">
        <v>13116339</v>
      </c>
      <c r="I81" s="1">
        <v>0</v>
      </c>
      <c r="J81">
        <v>77</v>
      </c>
      <c r="K81">
        <v>85</v>
      </c>
      <c r="L81" t="s">
        <v>14</v>
      </c>
      <c r="M81">
        <f>mlb_payrolls[[#This Row],[Wins]] + mlb_payrolls[[#This Row],[Losses]]</f>
        <v>162</v>
      </c>
      <c r="N81" s="2">
        <f>IF(mlb_payrolls[[#This Row],[Games]] &gt;0, mlb_payrolls[[#This Row],[Wins]]/mlb_payrolls[[#This Row],[Games]], "")</f>
        <v>0.47530864197530864</v>
      </c>
      <c r="O81" s="1">
        <f>IFERROR(VALUE(mlb_payrolls[[#This Row],[Total Payroll Allocations]])/VALUE(mlb_payrolls[[#This Row],[Wins]]),"")</f>
        <v>997675.92207792203</v>
      </c>
      <c r="P81" s="1">
        <f>SUM(mlb_payrolls[[#This Row],[Active 26-Man]],mlb_payrolls[[#This Row],[Injured]],mlb_payrolls[[#This Row],[Retained]],mlb_payrolls[[#This Row],[Buried]])</f>
        <v>76821046</v>
      </c>
      <c r="Q81" s="1">
        <f>mlb_payrolls[[#This Row],[Total Payroll Allocations]]-mlb_payrolls[[#This Row],[Payroll Parts Sum]]</f>
        <v>0</v>
      </c>
      <c r="R81" s="2">
        <f>IF(mlb_payrolls[[#This Row],[Total Payroll Allocations]]&gt;0, mlb_payrolls[[#This Row],[Active 26-Man]]/mlb_payrolls[[#This Row],[Total Payroll Allocations]],"")</f>
        <v>0.82926112461421053</v>
      </c>
      <c r="S81" s="2">
        <f>IF(mlb_payrolls[[#This Row],[Total Payroll Allocations]]&gt;0,mlb_payrolls[[#This Row],[Injured]]/mlb_payrolls[[#This Row],[Total Payroll Allocations]])</f>
        <v>0</v>
      </c>
      <c r="T81" s="3">
        <f>IF(mlb_payrolls[[#This Row],[Total Payroll Allocations]]&gt;0,mlb_payrolls[[#This Row],[Retained]]/mlb_payrolls[[#This Row],[Total Payroll Allocations]])</f>
        <v>0.17073887538578947</v>
      </c>
      <c r="U81" s="3">
        <f>IF(mlb_payrolls[[#This Row],[Total Payroll Allocations]]&gt;0,mlb_payrolls[[#This Row],[Buried]]/mlb_payrolls[[#This Row],[Total Payroll Allocations]])</f>
        <v>0</v>
      </c>
      <c r="V81">
        <f>IF(mlb_payrolls[[#This Row],[Postseason]]="No Playoffs",0,1)</f>
        <v>0</v>
      </c>
    </row>
    <row r="82" spans="1:22" x14ac:dyDescent="0.3">
      <c r="A82" t="s">
        <v>41</v>
      </c>
      <c r="B82" t="s">
        <v>42</v>
      </c>
      <c r="C82">
        <v>2017</v>
      </c>
      <c r="D82">
        <v>26.5</v>
      </c>
      <c r="E82" s="1">
        <v>76921678</v>
      </c>
      <c r="F82" s="1">
        <v>23930424</v>
      </c>
      <c r="G82" s="1">
        <v>5182750</v>
      </c>
      <c r="H82" s="1">
        <v>42793983</v>
      </c>
      <c r="I82" s="1">
        <v>5014521</v>
      </c>
      <c r="J82">
        <v>71</v>
      </c>
      <c r="K82">
        <v>91</v>
      </c>
      <c r="L82" t="s">
        <v>14</v>
      </c>
      <c r="M82">
        <f>mlb_payrolls[[#This Row],[Wins]] + mlb_payrolls[[#This Row],[Losses]]</f>
        <v>162</v>
      </c>
      <c r="N82" s="2">
        <f>IF(mlb_payrolls[[#This Row],[Games]] &gt;0, mlb_payrolls[[#This Row],[Wins]]/mlb_payrolls[[#This Row],[Games]], "")</f>
        <v>0.43827160493827161</v>
      </c>
      <c r="O82" s="1">
        <f>IFERROR(VALUE(mlb_payrolls[[#This Row],[Total Payroll Allocations]])/VALUE(mlb_payrolls[[#This Row],[Wins]]),"")</f>
        <v>1083403.9154929577</v>
      </c>
      <c r="P82" s="1">
        <f>SUM(mlb_payrolls[[#This Row],[Active 26-Man]],mlb_payrolls[[#This Row],[Injured]],mlb_payrolls[[#This Row],[Retained]],mlb_payrolls[[#This Row],[Buried]])</f>
        <v>76921678</v>
      </c>
      <c r="Q82" s="1">
        <f>mlb_payrolls[[#This Row],[Total Payroll Allocations]]-mlb_payrolls[[#This Row],[Payroll Parts Sum]]</f>
        <v>0</v>
      </c>
      <c r="R82" s="2">
        <f>IF(mlb_payrolls[[#This Row],[Total Payroll Allocations]]&gt;0, mlb_payrolls[[#This Row],[Active 26-Man]]/mlb_payrolls[[#This Row],[Total Payroll Allocations]],"")</f>
        <v>0.31110116968587193</v>
      </c>
      <c r="S82" s="2">
        <f>IF(mlb_payrolls[[#This Row],[Total Payroll Allocations]]&gt;0,mlb_payrolls[[#This Row],[Injured]]/mlb_payrolls[[#This Row],[Total Payroll Allocations]])</f>
        <v>6.737697531767313E-2</v>
      </c>
      <c r="T82" s="3">
        <f>IF(mlb_payrolls[[#This Row],[Total Payroll Allocations]]&gt;0,mlb_payrolls[[#This Row],[Retained]]/mlb_payrolls[[#This Row],[Total Payroll Allocations]])</f>
        <v>0.55633189645186887</v>
      </c>
      <c r="U82" s="3">
        <f>IF(mlb_payrolls[[#This Row],[Total Payroll Allocations]]&gt;0,mlb_payrolls[[#This Row],[Buried]]/mlb_payrolls[[#This Row],[Total Payroll Allocations]])</f>
        <v>6.5189958544586091E-2</v>
      </c>
      <c r="V82">
        <f>IF(mlb_payrolls[[#This Row],[Postseason]]="No Playoffs",0,1)</f>
        <v>0</v>
      </c>
    </row>
    <row r="83" spans="1:22" x14ac:dyDescent="0.3">
      <c r="A83" t="s">
        <v>22</v>
      </c>
      <c r="B83" t="s">
        <v>23</v>
      </c>
      <c r="C83">
        <v>2015</v>
      </c>
      <c r="D83">
        <v>27.1</v>
      </c>
      <c r="E83" s="1">
        <v>77404413</v>
      </c>
      <c r="F83" s="1">
        <v>45520977</v>
      </c>
      <c r="G83" s="1">
        <v>680720</v>
      </c>
      <c r="H83" s="1">
        <v>29817050</v>
      </c>
      <c r="I83" s="1">
        <v>1385666</v>
      </c>
      <c r="J83">
        <v>81</v>
      </c>
      <c r="K83">
        <v>80</v>
      </c>
      <c r="L83" t="s">
        <v>14</v>
      </c>
      <c r="M83">
        <f>mlb_payrolls[[#This Row],[Wins]] + mlb_payrolls[[#This Row],[Losses]]</f>
        <v>161</v>
      </c>
      <c r="N83" s="2">
        <f>IF(mlb_payrolls[[#This Row],[Games]] &gt;0, mlb_payrolls[[#This Row],[Wins]]/mlb_payrolls[[#This Row],[Games]], "")</f>
        <v>0.50310559006211175</v>
      </c>
      <c r="O83" s="1">
        <f>IFERROR(VALUE(mlb_payrolls[[#This Row],[Total Payroll Allocations]])/VALUE(mlb_payrolls[[#This Row],[Wins]]),"")</f>
        <v>955610.03703703708</v>
      </c>
      <c r="P83" s="1">
        <f>SUM(mlb_payrolls[[#This Row],[Active 26-Man]],mlb_payrolls[[#This Row],[Injured]],mlb_payrolls[[#This Row],[Retained]],mlb_payrolls[[#This Row],[Buried]])</f>
        <v>77404413</v>
      </c>
      <c r="Q83" s="1">
        <f>mlb_payrolls[[#This Row],[Total Payroll Allocations]]-mlb_payrolls[[#This Row],[Payroll Parts Sum]]</f>
        <v>0</v>
      </c>
      <c r="R83" s="2">
        <f>IF(mlb_payrolls[[#This Row],[Total Payroll Allocations]]&gt;0, mlb_payrolls[[#This Row],[Active 26-Man]]/mlb_payrolls[[#This Row],[Total Payroll Allocations]],"")</f>
        <v>0.58809278742285664</v>
      </c>
      <c r="S83" s="2">
        <f>IF(mlb_payrolls[[#This Row],[Total Payroll Allocations]]&gt;0,mlb_payrolls[[#This Row],[Injured]]/mlb_payrolls[[#This Row],[Total Payroll Allocations]])</f>
        <v>8.7943306281516535E-3</v>
      </c>
      <c r="T83" s="3">
        <f>IF(mlb_payrolls[[#This Row],[Total Payroll Allocations]]&gt;0,mlb_payrolls[[#This Row],[Retained]]/mlb_payrolls[[#This Row],[Total Payroll Allocations]])</f>
        <v>0.38521124112135569</v>
      </c>
      <c r="U83" s="3">
        <f>IF(mlb_payrolls[[#This Row],[Total Payroll Allocations]]&gt;0,mlb_payrolls[[#This Row],[Buried]]/mlb_payrolls[[#This Row],[Total Payroll Allocations]])</f>
        <v>1.7901640827636015E-2</v>
      </c>
      <c r="V83">
        <f>IF(mlb_payrolls[[#This Row],[Postseason]]="No Playoffs",0,1)</f>
        <v>0</v>
      </c>
    </row>
    <row r="84" spans="1:22" x14ac:dyDescent="0.3">
      <c r="A84" t="s">
        <v>12</v>
      </c>
      <c r="B84" t="s">
        <v>13</v>
      </c>
      <c r="C84">
        <v>2018</v>
      </c>
      <c r="D84">
        <v>28.9</v>
      </c>
      <c r="E84" s="1">
        <v>77673582</v>
      </c>
      <c r="F84" s="1">
        <v>61525657</v>
      </c>
      <c r="G84" s="1">
        <v>4972604</v>
      </c>
      <c r="H84" s="1">
        <v>10118631</v>
      </c>
      <c r="I84" s="1">
        <v>1056690</v>
      </c>
      <c r="J84">
        <v>97</v>
      </c>
      <c r="K84">
        <v>65</v>
      </c>
      <c r="L84" t="s">
        <v>21</v>
      </c>
      <c r="M84">
        <f>mlb_payrolls[[#This Row],[Wins]] + mlb_payrolls[[#This Row],[Losses]]</f>
        <v>162</v>
      </c>
      <c r="N84" s="2">
        <f>IF(mlb_payrolls[[#This Row],[Games]] &gt;0, mlb_payrolls[[#This Row],[Wins]]/mlb_payrolls[[#This Row],[Games]], "")</f>
        <v>0.59876543209876543</v>
      </c>
      <c r="O84" s="1">
        <f>IFERROR(VALUE(mlb_payrolls[[#This Row],[Total Payroll Allocations]])/VALUE(mlb_payrolls[[#This Row],[Wins]]),"")</f>
        <v>800758.57731958758</v>
      </c>
      <c r="P84" s="1">
        <f>SUM(mlb_payrolls[[#This Row],[Active 26-Man]],mlb_payrolls[[#This Row],[Injured]],mlb_payrolls[[#This Row],[Retained]],mlb_payrolls[[#This Row],[Buried]])</f>
        <v>77673582</v>
      </c>
      <c r="Q84" s="1">
        <f>mlb_payrolls[[#This Row],[Total Payroll Allocations]]-mlb_payrolls[[#This Row],[Payroll Parts Sum]]</f>
        <v>0</v>
      </c>
      <c r="R84" s="2">
        <f>IF(mlb_payrolls[[#This Row],[Total Payroll Allocations]]&gt;0, mlb_payrolls[[#This Row],[Active 26-Man]]/mlb_payrolls[[#This Row],[Total Payroll Allocations]],"")</f>
        <v>0.79210531323249644</v>
      </c>
      <c r="S84" s="2">
        <f>IF(mlb_payrolls[[#This Row],[Total Payroll Allocations]]&gt;0,mlb_payrolls[[#This Row],[Injured]]/mlb_payrolls[[#This Row],[Total Payroll Allocations]])</f>
        <v>6.4019244020444427E-2</v>
      </c>
      <c r="T84" s="3">
        <f>IF(mlb_payrolls[[#This Row],[Total Payroll Allocations]]&gt;0,mlb_payrolls[[#This Row],[Retained]]/mlb_payrolls[[#This Row],[Total Payroll Allocations]])</f>
        <v>0.13027120340606926</v>
      </c>
      <c r="U84" s="3">
        <f>IF(mlb_payrolls[[#This Row],[Total Payroll Allocations]]&gt;0,mlb_payrolls[[#This Row],[Buried]]/mlb_payrolls[[#This Row],[Total Payroll Allocations]])</f>
        <v>1.3604239340989836E-2</v>
      </c>
      <c r="V84">
        <f>IF(mlb_payrolls[[#This Row],[Postseason]]="No Playoffs",0,1)</f>
        <v>1</v>
      </c>
    </row>
    <row r="85" spans="1:22" x14ac:dyDescent="0.3">
      <c r="A85" t="s">
        <v>17</v>
      </c>
      <c r="B85" t="s">
        <v>18</v>
      </c>
      <c r="C85">
        <v>2017</v>
      </c>
      <c r="D85">
        <v>27.9</v>
      </c>
      <c r="E85" s="1">
        <v>77811205</v>
      </c>
      <c r="F85" s="1">
        <v>59818694</v>
      </c>
      <c r="G85" s="1">
        <v>6867218</v>
      </c>
      <c r="H85" s="1">
        <v>7098455</v>
      </c>
      <c r="I85" s="1">
        <v>382917</v>
      </c>
      <c r="J85">
        <v>80</v>
      </c>
      <c r="K85">
        <v>82</v>
      </c>
      <c r="L85" t="s">
        <v>14</v>
      </c>
      <c r="M85">
        <f>mlb_payrolls[[#This Row],[Wins]] + mlb_payrolls[[#This Row],[Losses]]</f>
        <v>162</v>
      </c>
      <c r="N85" s="2">
        <f>IF(mlb_payrolls[[#This Row],[Games]] &gt;0, mlb_payrolls[[#This Row],[Wins]]/mlb_payrolls[[#This Row],[Games]], "")</f>
        <v>0.49382716049382713</v>
      </c>
      <c r="O85" s="1">
        <f>IFERROR(VALUE(mlb_payrolls[[#This Row],[Total Payroll Allocations]])/VALUE(mlb_payrolls[[#This Row],[Wins]]),"")</f>
        <v>972640.0625</v>
      </c>
      <c r="P85" s="1">
        <f>SUM(mlb_payrolls[[#This Row],[Active 26-Man]],mlb_payrolls[[#This Row],[Injured]],mlb_payrolls[[#This Row],[Retained]],mlb_payrolls[[#This Row],[Buried]])</f>
        <v>74167284</v>
      </c>
      <c r="Q85" s="1">
        <f>mlb_payrolls[[#This Row],[Total Payroll Allocations]]-mlb_payrolls[[#This Row],[Payroll Parts Sum]]</f>
        <v>3643921</v>
      </c>
      <c r="R85" s="2">
        <f>IF(mlb_payrolls[[#This Row],[Total Payroll Allocations]]&gt;0, mlb_payrolls[[#This Row],[Active 26-Man]]/mlb_payrolls[[#This Row],[Total Payroll Allocations]],"")</f>
        <v>0.76876709466200921</v>
      </c>
      <c r="S85" s="2">
        <f>IF(mlb_payrolls[[#This Row],[Total Payroll Allocations]]&gt;0,mlb_payrolls[[#This Row],[Injured]]/mlb_payrolls[[#This Row],[Total Payroll Allocations]])</f>
        <v>8.8254872803987555E-2</v>
      </c>
      <c r="T85" s="3">
        <f>IF(mlb_payrolls[[#This Row],[Total Payroll Allocations]]&gt;0,mlb_payrolls[[#This Row],[Retained]]/mlb_payrolls[[#This Row],[Total Payroll Allocations]])</f>
        <v>9.1226642743805347E-2</v>
      </c>
      <c r="U85" s="3">
        <f>IF(mlb_payrolls[[#This Row],[Total Payroll Allocations]]&gt;0,mlb_payrolls[[#This Row],[Buried]]/mlb_payrolls[[#This Row],[Total Payroll Allocations]])</f>
        <v>4.9211035865592877E-3</v>
      </c>
      <c r="V85">
        <f>IF(mlb_payrolls[[#This Row],[Postseason]]="No Playoffs",0,1)</f>
        <v>0</v>
      </c>
    </row>
    <row r="86" spans="1:22" x14ac:dyDescent="0.3">
      <c r="A86" t="s">
        <v>12</v>
      </c>
      <c r="B86" t="s">
        <v>13</v>
      </c>
      <c r="C86">
        <v>2015</v>
      </c>
      <c r="D86">
        <v>27.9</v>
      </c>
      <c r="E86" s="1">
        <v>80491339</v>
      </c>
      <c r="F86" s="1">
        <v>42311467</v>
      </c>
      <c r="G86" s="1">
        <v>8772896</v>
      </c>
      <c r="H86" s="1">
        <v>29168581</v>
      </c>
      <c r="I86" s="1">
        <v>238395</v>
      </c>
      <c r="J86">
        <v>68</v>
      </c>
      <c r="K86">
        <v>94</v>
      </c>
      <c r="L86" t="s">
        <v>14</v>
      </c>
      <c r="M86">
        <f>mlb_payrolls[[#This Row],[Wins]] + mlb_payrolls[[#This Row],[Losses]]</f>
        <v>162</v>
      </c>
      <c r="N86" s="2">
        <f>IF(mlb_payrolls[[#This Row],[Games]] &gt;0, mlb_payrolls[[#This Row],[Wins]]/mlb_payrolls[[#This Row],[Games]], "")</f>
        <v>0.41975308641975306</v>
      </c>
      <c r="O86" s="1">
        <f>IFERROR(VALUE(mlb_payrolls[[#This Row],[Total Payroll Allocations]])/VALUE(mlb_payrolls[[#This Row],[Wins]]),"")</f>
        <v>1183696.1617647058</v>
      </c>
      <c r="P86" s="1">
        <f>SUM(mlb_payrolls[[#This Row],[Active 26-Man]],mlb_payrolls[[#This Row],[Injured]],mlb_payrolls[[#This Row],[Retained]],mlb_payrolls[[#This Row],[Buried]])</f>
        <v>80491339</v>
      </c>
      <c r="Q86" s="1">
        <f>mlb_payrolls[[#This Row],[Total Payroll Allocations]]-mlb_payrolls[[#This Row],[Payroll Parts Sum]]</f>
        <v>0</v>
      </c>
      <c r="R86" s="2">
        <f>IF(mlb_payrolls[[#This Row],[Total Payroll Allocations]]&gt;0, mlb_payrolls[[#This Row],[Active 26-Man]]/mlb_payrolls[[#This Row],[Total Payroll Allocations]],"")</f>
        <v>0.52566484202728947</v>
      </c>
      <c r="S86" s="2">
        <f>IF(mlb_payrolls[[#This Row],[Total Payroll Allocations]]&gt;0,mlb_payrolls[[#This Row],[Injured]]/mlb_payrolls[[#This Row],[Total Payroll Allocations]])</f>
        <v>0.1089918009687974</v>
      </c>
      <c r="T86" s="3">
        <f>IF(mlb_payrolls[[#This Row],[Total Payroll Allocations]]&gt;0,mlb_payrolls[[#This Row],[Retained]]/mlb_payrolls[[#This Row],[Total Payroll Allocations]])</f>
        <v>0.36238160977791661</v>
      </c>
      <c r="U86" s="3">
        <f>IF(mlb_payrolls[[#This Row],[Total Payroll Allocations]]&gt;0,mlb_payrolls[[#This Row],[Buried]]/mlb_payrolls[[#This Row],[Total Payroll Allocations]])</f>
        <v>2.9617472259965759E-3</v>
      </c>
      <c r="V86">
        <f>IF(mlb_payrolls[[#This Row],[Postseason]]="No Playoffs",0,1)</f>
        <v>0</v>
      </c>
    </row>
    <row r="87" spans="1:22" x14ac:dyDescent="0.3">
      <c r="A87" t="s">
        <v>43</v>
      </c>
      <c r="B87" t="s">
        <v>44</v>
      </c>
      <c r="C87">
        <v>2012</v>
      </c>
      <c r="D87">
        <v>28.6</v>
      </c>
      <c r="E87" s="1">
        <v>80711013</v>
      </c>
      <c r="F87" s="1">
        <v>74074400</v>
      </c>
      <c r="G87" s="1">
        <v>0</v>
      </c>
      <c r="H87" s="1">
        <v>6636613</v>
      </c>
      <c r="I87" s="1">
        <v>0</v>
      </c>
      <c r="J87">
        <v>81</v>
      </c>
      <c r="K87">
        <v>81</v>
      </c>
      <c r="L87" t="s">
        <v>14</v>
      </c>
      <c r="M87">
        <f>mlb_payrolls[[#This Row],[Wins]] + mlb_payrolls[[#This Row],[Losses]]</f>
        <v>162</v>
      </c>
      <c r="N87" s="2">
        <f>IF(mlb_payrolls[[#This Row],[Games]] &gt;0, mlb_payrolls[[#This Row],[Wins]]/mlb_payrolls[[#This Row],[Games]], "")</f>
        <v>0.5</v>
      </c>
      <c r="O87" s="1">
        <f>IFERROR(VALUE(mlb_payrolls[[#This Row],[Total Payroll Allocations]])/VALUE(mlb_payrolls[[#This Row],[Wins]]),"")</f>
        <v>996432.25925925921</v>
      </c>
      <c r="P87" s="1">
        <f>SUM(mlb_payrolls[[#This Row],[Active 26-Man]],mlb_payrolls[[#This Row],[Injured]],mlb_payrolls[[#This Row],[Retained]],mlb_payrolls[[#This Row],[Buried]])</f>
        <v>80711013</v>
      </c>
      <c r="Q87" s="1">
        <f>mlb_payrolls[[#This Row],[Total Payroll Allocations]]-mlb_payrolls[[#This Row],[Payroll Parts Sum]]</f>
        <v>0</v>
      </c>
      <c r="R87" s="2">
        <f>IF(mlb_payrolls[[#This Row],[Total Payroll Allocations]]&gt;0, mlb_payrolls[[#This Row],[Active 26-Man]]/mlb_payrolls[[#This Row],[Total Payroll Allocations]],"")</f>
        <v>0.91777314206179028</v>
      </c>
      <c r="S87" s="2">
        <f>IF(mlb_payrolls[[#This Row],[Total Payroll Allocations]]&gt;0,mlb_payrolls[[#This Row],[Injured]]/mlb_payrolls[[#This Row],[Total Payroll Allocations]])</f>
        <v>0</v>
      </c>
      <c r="T87" s="3">
        <f>IF(mlb_payrolls[[#This Row],[Total Payroll Allocations]]&gt;0,mlb_payrolls[[#This Row],[Retained]]/mlb_payrolls[[#This Row],[Total Payroll Allocations]])</f>
        <v>8.2226857938209746E-2</v>
      </c>
      <c r="U87" s="3">
        <f>IF(mlb_payrolls[[#This Row],[Total Payroll Allocations]]&gt;0,mlb_payrolls[[#This Row],[Buried]]/mlb_payrolls[[#This Row],[Total Payroll Allocations]])</f>
        <v>0</v>
      </c>
      <c r="V87">
        <f>IF(mlb_payrolls[[#This Row],[Postseason]]="No Playoffs",0,1)</f>
        <v>0</v>
      </c>
    </row>
    <row r="88" spans="1:22" x14ac:dyDescent="0.3">
      <c r="A88" t="s">
        <v>37</v>
      </c>
      <c r="B88" t="s">
        <v>38</v>
      </c>
      <c r="C88">
        <v>2013</v>
      </c>
      <c r="D88">
        <v>27.2</v>
      </c>
      <c r="E88" s="1">
        <v>81300970</v>
      </c>
      <c r="F88" s="1">
        <v>58450017</v>
      </c>
      <c r="G88" s="1">
        <v>0</v>
      </c>
      <c r="H88" s="1">
        <v>17083194</v>
      </c>
      <c r="I88" s="1">
        <v>5767759</v>
      </c>
      <c r="J88">
        <v>66</v>
      </c>
      <c r="K88">
        <v>96</v>
      </c>
      <c r="L88" t="s">
        <v>14</v>
      </c>
      <c r="M88">
        <f>mlb_payrolls[[#This Row],[Wins]] + mlb_payrolls[[#This Row],[Losses]]</f>
        <v>162</v>
      </c>
      <c r="N88" s="2">
        <f>IF(mlb_payrolls[[#This Row],[Games]] &gt;0, mlb_payrolls[[#This Row],[Wins]]/mlb_payrolls[[#This Row],[Games]], "")</f>
        <v>0.40740740740740738</v>
      </c>
      <c r="O88" s="1">
        <f>IFERROR(VALUE(mlb_payrolls[[#This Row],[Total Payroll Allocations]])/VALUE(mlb_payrolls[[#This Row],[Wins]]),"")</f>
        <v>1231832.8787878789</v>
      </c>
      <c r="P88" s="1">
        <f>SUM(mlb_payrolls[[#This Row],[Active 26-Man]],mlb_payrolls[[#This Row],[Injured]],mlb_payrolls[[#This Row],[Retained]],mlb_payrolls[[#This Row],[Buried]])</f>
        <v>81300970</v>
      </c>
      <c r="Q88" s="1">
        <f>mlb_payrolls[[#This Row],[Total Payroll Allocations]]-mlb_payrolls[[#This Row],[Payroll Parts Sum]]</f>
        <v>0</v>
      </c>
      <c r="R88" s="2">
        <f>IF(mlb_payrolls[[#This Row],[Total Payroll Allocations]]&gt;0, mlb_payrolls[[#This Row],[Active 26-Man]]/mlb_payrolls[[#This Row],[Total Payroll Allocations]],"")</f>
        <v>0.71893382083879198</v>
      </c>
      <c r="S88" s="2">
        <f>IF(mlb_payrolls[[#This Row],[Total Payroll Allocations]]&gt;0,mlb_payrolls[[#This Row],[Injured]]/mlb_payrolls[[#This Row],[Total Payroll Allocations]])</f>
        <v>0</v>
      </c>
      <c r="T88" s="3">
        <f>IF(mlb_payrolls[[#This Row],[Total Payroll Allocations]]&gt;0,mlb_payrolls[[#This Row],[Retained]]/mlb_payrolls[[#This Row],[Total Payroll Allocations]])</f>
        <v>0.21012288045271785</v>
      </c>
      <c r="U88" s="3">
        <f>IF(mlb_payrolls[[#This Row],[Total Payroll Allocations]]&gt;0,mlb_payrolls[[#This Row],[Buried]]/mlb_payrolls[[#This Row],[Total Payroll Allocations]])</f>
        <v>7.0943298708490199E-2</v>
      </c>
      <c r="V88">
        <f>IF(mlb_payrolls[[#This Row],[Postseason]]="No Playoffs",0,1)</f>
        <v>0</v>
      </c>
    </row>
    <row r="89" spans="1:22" x14ac:dyDescent="0.3">
      <c r="A89" t="s">
        <v>65</v>
      </c>
      <c r="B89" t="s">
        <v>66</v>
      </c>
      <c r="C89">
        <v>2015</v>
      </c>
      <c r="D89">
        <v>27.6</v>
      </c>
      <c r="E89" s="1">
        <v>81341546</v>
      </c>
      <c r="F89" s="1">
        <v>64818398</v>
      </c>
      <c r="G89" s="1">
        <v>11040900</v>
      </c>
      <c r="H89" s="1">
        <v>3150680</v>
      </c>
      <c r="I89" s="1">
        <v>2331568</v>
      </c>
      <c r="J89">
        <v>86</v>
      </c>
      <c r="K89">
        <v>76</v>
      </c>
      <c r="L89" t="s">
        <v>21</v>
      </c>
      <c r="M89">
        <f>mlb_payrolls[[#This Row],[Wins]] + mlb_payrolls[[#This Row],[Losses]]</f>
        <v>162</v>
      </c>
      <c r="N89" s="2">
        <f>IF(mlb_payrolls[[#This Row],[Games]] &gt;0, mlb_payrolls[[#This Row],[Wins]]/mlb_payrolls[[#This Row],[Games]], "")</f>
        <v>0.53086419753086422</v>
      </c>
      <c r="O89" s="1">
        <f>IFERROR(VALUE(mlb_payrolls[[#This Row],[Total Payroll Allocations]])/VALUE(mlb_payrolls[[#This Row],[Wins]]),"")</f>
        <v>945831.93023255817</v>
      </c>
      <c r="P89" s="1">
        <f>SUM(mlb_payrolls[[#This Row],[Active 26-Man]],mlb_payrolls[[#This Row],[Injured]],mlb_payrolls[[#This Row],[Retained]],mlb_payrolls[[#This Row],[Buried]])</f>
        <v>81341546</v>
      </c>
      <c r="Q89" s="1">
        <f>mlb_payrolls[[#This Row],[Total Payroll Allocations]]-mlb_payrolls[[#This Row],[Payroll Parts Sum]]</f>
        <v>0</v>
      </c>
      <c r="R89" s="2">
        <f>IF(mlb_payrolls[[#This Row],[Total Payroll Allocations]]&gt;0, mlb_payrolls[[#This Row],[Active 26-Man]]/mlb_payrolls[[#This Row],[Total Payroll Allocations]],"")</f>
        <v>0.79686705241624001</v>
      </c>
      <c r="S89" s="2">
        <f>IF(mlb_payrolls[[#This Row],[Total Payroll Allocations]]&gt;0,mlb_payrolls[[#This Row],[Injured]]/mlb_payrolls[[#This Row],[Total Payroll Allocations]])</f>
        <v>0.13573506458802737</v>
      </c>
      <c r="T89" s="3">
        <f>IF(mlb_payrolls[[#This Row],[Total Payroll Allocations]]&gt;0,mlb_payrolls[[#This Row],[Retained]]/mlb_payrolls[[#This Row],[Total Payroll Allocations]])</f>
        <v>3.8733957675208187E-2</v>
      </c>
      <c r="U89" s="3">
        <f>IF(mlb_payrolls[[#This Row],[Total Payroll Allocations]]&gt;0,mlb_payrolls[[#This Row],[Buried]]/mlb_payrolls[[#This Row],[Total Payroll Allocations]])</f>
        <v>2.8663925320524399E-2</v>
      </c>
      <c r="V89">
        <f>IF(mlb_payrolls[[#This Row],[Postseason]]="No Playoffs",0,1)</f>
        <v>1</v>
      </c>
    </row>
    <row r="90" spans="1:22" x14ac:dyDescent="0.3">
      <c r="A90" t="s">
        <v>29</v>
      </c>
      <c r="B90" t="s">
        <v>30</v>
      </c>
      <c r="C90">
        <v>2011</v>
      </c>
      <c r="D90">
        <v>27.8</v>
      </c>
      <c r="E90" s="1">
        <v>81920546</v>
      </c>
      <c r="F90" s="1">
        <v>79612874</v>
      </c>
      <c r="G90" s="1">
        <v>0</v>
      </c>
      <c r="H90" s="1">
        <v>2307672</v>
      </c>
      <c r="I90" s="1">
        <v>0</v>
      </c>
      <c r="J90">
        <v>79</v>
      </c>
      <c r="K90">
        <v>83</v>
      </c>
      <c r="L90" t="s">
        <v>14</v>
      </c>
      <c r="M90">
        <f>mlb_payrolls[[#This Row],[Wins]] + mlb_payrolls[[#This Row],[Losses]]</f>
        <v>162</v>
      </c>
      <c r="N90" s="2">
        <f>IF(mlb_payrolls[[#This Row],[Games]] &gt;0, mlb_payrolls[[#This Row],[Wins]]/mlb_payrolls[[#This Row],[Games]], "")</f>
        <v>0.48765432098765432</v>
      </c>
      <c r="O90" s="1">
        <f>IFERROR(VALUE(mlb_payrolls[[#This Row],[Total Payroll Allocations]])/VALUE(mlb_payrolls[[#This Row],[Wins]]),"")</f>
        <v>1036968.9367088608</v>
      </c>
      <c r="P90" s="1">
        <f>SUM(mlb_payrolls[[#This Row],[Active 26-Man]],mlb_payrolls[[#This Row],[Injured]],mlb_payrolls[[#This Row],[Retained]],mlb_payrolls[[#This Row],[Buried]])</f>
        <v>81920546</v>
      </c>
      <c r="Q90" s="1">
        <f>mlb_payrolls[[#This Row],[Total Payroll Allocations]]-mlb_payrolls[[#This Row],[Payroll Parts Sum]]</f>
        <v>0</v>
      </c>
      <c r="R90" s="2">
        <f>IF(mlb_payrolls[[#This Row],[Total Payroll Allocations]]&gt;0, mlb_payrolls[[#This Row],[Active 26-Man]]/mlb_payrolls[[#This Row],[Total Payroll Allocations]],"")</f>
        <v>0.97183036353297747</v>
      </c>
      <c r="S90" s="2">
        <f>IF(mlb_payrolls[[#This Row],[Total Payroll Allocations]]&gt;0,mlb_payrolls[[#This Row],[Injured]]/mlb_payrolls[[#This Row],[Total Payroll Allocations]])</f>
        <v>0</v>
      </c>
      <c r="T90" s="3">
        <f>IF(mlb_payrolls[[#This Row],[Total Payroll Allocations]]&gt;0,mlb_payrolls[[#This Row],[Retained]]/mlb_payrolls[[#This Row],[Total Payroll Allocations]])</f>
        <v>2.8169636467022571E-2</v>
      </c>
      <c r="U90" s="3">
        <f>IF(mlb_payrolls[[#This Row],[Total Payroll Allocations]]&gt;0,mlb_payrolls[[#This Row],[Buried]]/mlb_payrolls[[#This Row],[Total Payroll Allocations]])</f>
        <v>0</v>
      </c>
      <c r="V90">
        <f>IF(mlb_payrolls[[#This Row],[Postseason]]="No Playoffs",0,1)</f>
        <v>0</v>
      </c>
    </row>
    <row r="91" spans="1:22" x14ac:dyDescent="0.3">
      <c r="A91" t="s">
        <v>73</v>
      </c>
      <c r="B91" t="s">
        <v>74</v>
      </c>
      <c r="C91">
        <v>2020</v>
      </c>
      <c r="D91">
        <v>29.3</v>
      </c>
      <c r="E91" s="1">
        <v>81945598</v>
      </c>
      <c r="F91" s="1">
        <v>46360406</v>
      </c>
      <c r="G91" s="1">
        <v>15399881</v>
      </c>
      <c r="H91" s="1">
        <v>18418790</v>
      </c>
      <c r="I91" s="1">
        <v>373486</v>
      </c>
      <c r="J91">
        <v>26</v>
      </c>
      <c r="K91">
        <v>34</v>
      </c>
      <c r="L91" t="s">
        <v>14</v>
      </c>
      <c r="M91">
        <f>mlb_payrolls[[#This Row],[Wins]] + mlb_payrolls[[#This Row],[Losses]]</f>
        <v>60</v>
      </c>
      <c r="N91" s="2">
        <f>IF(mlb_payrolls[[#This Row],[Games]] &gt;0, mlb_payrolls[[#This Row],[Wins]]/mlb_payrolls[[#This Row],[Games]], "")</f>
        <v>0.43333333333333335</v>
      </c>
      <c r="O91" s="1">
        <f>IFERROR(VALUE(mlb_payrolls[[#This Row],[Total Payroll Allocations]])/VALUE(mlb_payrolls[[#This Row],[Wins]]),"")</f>
        <v>3151753.769230769</v>
      </c>
      <c r="P91" s="1">
        <f>SUM(mlb_payrolls[[#This Row],[Active 26-Man]],mlb_payrolls[[#This Row],[Injured]],mlb_payrolls[[#This Row],[Retained]],mlb_payrolls[[#This Row],[Buried]])</f>
        <v>80552563</v>
      </c>
      <c r="Q91" s="1">
        <f>mlb_payrolls[[#This Row],[Total Payroll Allocations]]-mlb_payrolls[[#This Row],[Payroll Parts Sum]]</f>
        <v>1393035</v>
      </c>
      <c r="R91" s="2">
        <f>IF(mlb_payrolls[[#This Row],[Total Payroll Allocations]]&gt;0, mlb_payrolls[[#This Row],[Active 26-Man]]/mlb_payrolls[[#This Row],[Total Payroll Allocations]],"")</f>
        <v>0.56574614294717818</v>
      </c>
      <c r="S91" s="2">
        <f>IF(mlb_payrolls[[#This Row],[Total Payroll Allocations]]&gt;0,mlb_payrolls[[#This Row],[Injured]]/mlb_payrolls[[#This Row],[Total Payroll Allocations]])</f>
        <v>0.18792810566834842</v>
      </c>
      <c r="T91" s="3">
        <f>IF(mlb_payrolls[[#This Row],[Total Payroll Allocations]]&gt;0,mlb_payrolls[[#This Row],[Retained]]/mlb_payrolls[[#This Row],[Total Payroll Allocations]])</f>
        <v>0.22476851044518584</v>
      </c>
      <c r="U91" s="3">
        <f>IF(mlb_payrolls[[#This Row],[Total Payroll Allocations]]&gt;0,mlb_payrolls[[#This Row],[Buried]]/mlb_payrolls[[#This Row],[Total Payroll Allocations]])</f>
        <v>4.5577310937434373E-3</v>
      </c>
      <c r="V91">
        <f>IF(mlb_payrolls[[#This Row],[Postseason]]="No Playoffs",0,1)</f>
        <v>0</v>
      </c>
    </row>
    <row r="92" spans="1:22" x14ac:dyDescent="0.3">
      <c r="A92" t="s">
        <v>65</v>
      </c>
      <c r="B92" t="s">
        <v>66</v>
      </c>
      <c r="C92">
        <v>2020</v>
      </c>
      <c r="D92">
        <v>27.8</v>
      </c>
      <c r="E92" s="1">
        <v>82655105</v>
      </c>
      <c r="F92" s="1">
        <v>61406160</v>
      </c>
      <c r="G92" s="1">
        <v>18763334</v>
      </c>
      <c r="H92" s="1">
        <v>250000</v>
      </c>
      <c r="I92" s="1">
        <v>754130</v>
      </c>
      <c r="J92">
        <v>29</v>
      </c>
      <c r="K92">
        <v>31</v>
      </c>
      <c r="L92" t="s">
        <v>21</v>
      </c>
      <c r="M92">
        <f>mlb_payrolls[[#This Row],[Wins]] + mlb_payrolls[[#This Row],[Losses]]</f>
        <v>60</v>
      </c>
      <c r="N92" s="2">
        <f>IF(mlb_payrolls[[#This Row],[Games]] &gt;0, mlb_payrolls[[#This Row],[Wins]]/mlb_payrolls[[#This Row],[Games]], "")</f>
        <v>0.48333333333333334</v>
      </c>
      <c r="O92" s="1">
        <f>IFERROR(VALUE(mlb_payrolls[[#This Row],[Total Payroll Allocations]])/VALUE(mlb_payrolls[[#This Row],[Wins]]),"")</f>
        <v>2850176.0344827585</v>
      </c>
      <c r="P92" s="1">
        <f>SUM(mlb_payrolls[[#This Row],[Active 26-Man]],mlb_payrolls[[#This Row],[Injured]],mlb_payrolls[[#This Row],[Retained]],mlb_payrolls[[#This Row],[Buried]])</f>
        <v>81173624</v>
      </c>
      <c r="Q92" s="1">
        <f>mlb_payrolls[[#This Row],[Total Payroll Allocations]]-mlb_payrolls[[#This Row],[Payroll Parts Sum]]</f>
        <v>1481481</v>
      </c>
      <c r="R92" s="2">
        <f>IF(mlb_payrolls[[#This Row],[Total Payroll Allocations]]&gt;0, mlb_payrolls[[#This Row],[Active 26-Man]]/mlb_payrolls[[#This Row],[Total Payroll Allocations]],"")</f>
        <v>0.74292035561505854</v>
      </c>
      <c r="S92" s="2">
        <f>IF(mlb_payrolls[[#This Row],[Total Payroll Allocations]]&gt;0,mlb_payrolls[[#This Row],[Injured]]/mlb_payrolls[[#This Row],[Total Payroll Allocations]])</f>
        <v>0.22700756353766655</v>
      </c>
      <c r="T92" s="3">
        <f>IF(mlb_payrolls[[#This Row],[Total Payroll Allocations]]&gt;0,mlb_payrolls[[#This Row],[Retained]]/mlb_payrolls[[#This Row],[Total Payroll Allocations]])</f>
        <v>3.0246165678453861E-3</v>
      </c>
      <c r="U92" s="3">
        <f>IF(mlb_payrolls[[#This Row],[Total Payroll Allocations]]&gt;0,mlb_payrolls[[#This Row],[Buried]]/mlb_payrolls[[#This Row],[Total Payroll Allocations]])</f>
        <v>9.1238163692369638E-3</v>
      </c>
      <c r="V92">
        <f>IF(mlb_payrolls[[#This Row],[Postseason]]="No Playoffs",0,1)</f>
        <v>1</v>
      </c>
    </row>
    <row r="93" spans="1:22" x14ac:dyDescent="0.3">
      <c r="A93" t="s">
        <v>39</v>
      </c>
      <c r="B93" t="s">
        <v>40</v>
      </c>
      <c r="C93">
        <v>2013</v>
      </c>
      <c r="D93">
        <v>26.8</v>
      </c>
      <c r="E93" s="1">
        <v>82720022</v>
      </c>
      <c r="F93" s="1">
        <v>63758496</v>
      </c>
      <c r="G93" s="1">
        <v>0</v>
      </c>
      <c r="H93" s="1">
        <v>18717866</v>
      </c>
      <c r="I93" s="1">
        <v>243660</v>
      </c>
      <c r="J93">
        <v>71</v>
      </c>
      <c r="K93">
        <v>91</v>
      </c>
      <c r="L93" t="s">
        <v>14</v>
      </c>
      <c r="M93">
        <f>mlb_payrolls[[#This Row],[Wins]] + mlb_payrolls[[#This Row],[Losses]]</f>
        <v>162</v>
      </c>
      <c r="N93" s="2">
        <f>IF(mlb_payrolls[[#This Row],[Games]] &gt;0, mlb_payrolls[[#This Row],[Wins]]/mlb_payrolls[[#This Row],[Games]], "")</f>
        <v>0.43827160493827161</v>
      </c>
      <c r="O93" s="1">
        <f>IFERROR(VALUE(mlb_payrolls[[#This Row],[Total Payroll Allocations]])/VALUE(mlb_payrolls[[#This Row],[Wins]]),"")</f>
        <v>1165070.7323943663</v>
      </c>
      <c r="P93" s="1">
        <f>SUM(mlb_payrolls[[#This Row],[Active 26-Man]],mlb_payrolls[[#This Row],[Injured]],mlb_payrolls[[#This Row],[Retained]],mlb_payrolls[[#This Row],[Buried]])</f>
        <v>82720022</v>
      </c>
      <c r="Q93" s="1">
        <f>mlb_payrolls[[#This Row],[Total Payroll Allocations]]-mlb_payrolls[[#This Row],[Payroll Parts Sum]]</f>
        <v>0</v>
      </c>
      <c r="R93" s="2">
        <f>IF(mlb_payrolls[[#This Row],[Total Payroll Allocations]]&gt;0, mlb_payrolls[[#This Row],[Active 26-Man]]/mlb_payrolls[[#This Row],[Total Payroll Allocations]],"")</f>
        <v>0.77077464993904377</v>
      </c>
      <c r="S93" s="2">
        <f>IF(mlb_payrolls[[#This Row],[Total Payroll Allocations]]&gt;0,mlb_payrolls[[#This Row],[Injured]]/mlb_payrolls[[#This Row],[Total Payroll Allocations]])</f>
        <v>0</v>
      </c>
      <c r="T93" s="3">
        <f>IF(mlb_payrolls[[#This Row],[Total Payroll Allocations]]&gt;0,mlb_payrolls[[#This Row],[Retained]]/mlb_payrolls[[#This Row],[Total Payroll Allocations]])</f>
        <v>0.22627975123120736</v>
      </c>
      <c r="U93" s="3">
        <f>IF(mlb_payrolls[[#This Row],[Total Payroll Allocations]]&gt;0,mlb_payrolls[[#This Row],[Buried]]/mlb_payrolls[[#This Row],[Total Payroll Allocations]])</f>
        <v>2.9455988297488606E-3</v>
      </c>
      <c r="V93">
        <f>IF(mlb_payrolls[[#This Row],[Postseason]]="No Playoffs",0,1)</f>
        <v>0</v>
      </c>
    </row>
    <row r="94" spans="1:22" x14ac:dyDescent="0.3">
      <c r="A94" t="s">
        <v>49</v>
      </c>
      <c r="B94" t="s">
        <v>50</v>
      </c>
      <c r="C94">
        <v>2011</v>
      </c>
      <c r="D94">
        <v>27.8</v>
      </c>
      <c r="E94" s="1">
        <v>82897934</v>
      </c>
      <c r="F94" s="1">
        <v>77367736</v>
      </c>
      <c r="G94" s="1">
        <v>0</v>
      </c>
      <c r="H94" s="1">
        <v>5530198</v>
      </c>
      <c r="I94" s="1">
        <v>0</v>
      </c>
      <c r="J94">
        <v>73</v>
      </c>
      <c r="K94">
        <v>89</v>
      </c>
      <c r="L94" t="s">
        <v>14</v>
      </c>
      <c r="M94">
        <f>mlb_payrolls[[#This Row],[Wins]] + mlb_payrolls[[#This Row],[Losses]]</f>
        <v>162</v>
      </c>
      <c r="N94" s="2">
        <f>IF(mlb_payrolls[[#This Row],[Games]] &gt;0, mlb_payrolls[[#This Row],[Wins]]/mlb_payrolls[[#This Row],[Games]], "")</f>
        <v>0.45061728395061729</v>
      </c>
      <c r="O94" s="1">
        <f>IFERROR(VALUE(mlb_payrolls[[#This Row],[Total Payroll Allocations]])/VALUE(mlb_payrolls[[#This Row],[Wins]]),"")</f>
        <v>1135588.1369863013</v>
      </c>
      <c r="P94" s="1">
        <f>SUM(mlb_payrolls[[#This Row],[Active 26-Man]],mlb_payrolls[[#This Row],[Injured]],mlb_payrolls[[#This Row],[Retained]],mlb_payrolls[[#This Row],[Buried]])</f>
        <v>82897934</v>
      </c>
      <c r="Q94" s="1">
        <f>mlb_payrolls[[#This Row],[Total Payroll Allocations]]-mlb_payrolls[[#This Row],[Payroll Parts Sum]]</f>
        <v>0</v>
      </c>
      <c r="R94" s="2">
        <f>IF(mlb_payrolls[[#This Row],[Total Payroll Allocations]]&gt;0, mlb_payrolls[[#This Row],[Active 26-Man]]/mlb_payrolls[[#This Row],[Total Payroll Allocations]],"")</f>
        <v>0.93328907328378052</v>
      </c>
      <c r="S94" s="2">
        <f>IF(mlb_payrolls[[#This Row],[Total Payroll Allocations]]&gt;0,mlb_payrolls[[#This Row],[Injured]]/mlb_payrolls[[#This Row],[Total Payroll Allocations]])</f>
        <v>0</v>
      </c>
      <c r="T94" s="3">
        <f>IF(mlb_payrolls[[#This Row],[Total Payroll Allocations]]&gt;0,mlb_payrolls[[#This Row],[Retained]]/mlb_payrolls[[#This Row],[Total Payroll Allocations]])</f>
        <v>6.671092671621949E-2</v>
      </c>
      <c r="U94" s="3">
        <f>IF(mlb_payrolls[[#This Row],[Total Payroll Allocations]]&gt;0,mlb_payrolls[[#This Row],[Buried]]/mlb_payrolls[[#This Row],[Total Payroll Allocations]])</f>
        <v>0</v>
      </c>
      <c r="V94">
        <f>IF(mlb_payrolls[[#This Row],[Postseason]]="No Playoffs",0,1)</f>
        <v>0</v>
      </c>
    </row>
    <row r="95" spans="1:22" x14ac:dyDescent="0.3">
      <c r="A95" t="s">
        <v>25</v>
      </c>
      <c r="B95" t="s">
        <v>26</v>
      </c>
      <c r="C95">
        <v>2012</v>
      </c>
      <c r="D95">
        <v>27</v>
      </c>
      <c r="E95" s="1">
        <v>82932168</v>
      </c>
      <c r="F95" s="1">
        <v>80099381</v>
      </c>
      <c r="G95" s="1">
        <v>0</v>
      </c>
      <c r="H95" s="1">
        <v>2832787</v>
      </c>
      <c r="I95" s="1">
        <v>0</v>
      </c>
      <c r="J95">
        <v>93</v>
      </c>
      <c r="K95">
        <v>69</v>
      </c>
      <c r="L95" t="s">
        <v>21</v>
      </c>
      <c r="M95">
        <f>mlb_payrolls[[#This Row],[Wins]] + mlb_payrolls[[#This Row],[Losses]]</f>
        <v>162</v>
      </c>
      <c r="N95" s="2">
        <f>IF(mlb_payrolls[[#This Row],[Games]] &gt;0, mlb_payrolls[[#This Row],[Wins]]/mlb_payrolls[[#This Row],[Games]], "")</f>
        <v>0.57407407407407407</v>
      </c>
      <c r="O95" s="1">
        <f>IFERROR(VALUE(mlb_payrolls[[#This Row],[Total Payroll Allocations]])/VALUE(mlb_payrolls[[#This Row],[Wins]]),"")</f>
        <v>891743.74193548388</v>
      </c>
      <c r="P95" s="1">
        <f>SUM(mlb_payrolls[[#This Row],[Active 26-Man]],mlb_payrolls[[#This Row],[Injured]],mlb_payrolls[[#This Row],[Retained]],mlb_payrolls[[#This Row],[Buried]])</f>
        <v>82932168</v>
      </c>
      <c r="Q95" s="1">
        <f>mlb_payrolls[[#This Row],[Total Payroll Allocations]]-mlb_payrolls[[#This Row],[Payroll Parts Sum]]</f>
        <v>0</v>
      </c>
      <c r="R95" s="2">
        <f>IF(mlb_payrolls[[#This Row],[Total Payroll Allocations]]&gt;0, mlb_payrolls[[#This Row],[Active 26-Man]]/mlb_payrolls[[#This Row],[Total Payroll Allocations]],"")</f>
        <v>0.96584212051468377</v>
      </c>
      <c r="S95" s="2">
        <f>IF(mlb_payrolls[[#This Row],[Total Payroll Allocations]]&gt;0,mlb_payrolls[[#This Row],[Injured]]/mlb_payrolls[[#This Row],[Total Payroll Allocations]])</f>
        <v>0</v>
      </c>
      <c r="T95" s="3">
        <f>IF(mlb_payrolls[[#This Row],[Total Payroll Allocations]]&gt;0,mlb_payrolls[[#This Row],[Retained]]/mlb_payrolls[[#This Row],[Total Payroll Allocations]])</f>
        <v>3.4157879485316241E-2</v>
      </c>
      <c r="U95" s="3">
        <f>IF(mlb_payrolls[[#This Row],[Total Payroll Allocations]]&gt;0,mlb_payrolls[[#This Row],[Buried]]/mlb_payrolls[[#This Row],[Total Payroll Allocations]])</f>
        <v>0</v>
      </c>
      <c r="V95">
        <f>IF(mlb_payrolls[[#This Row],[Postseason]]="No Playoffs",0,1)</f>
        <v>1</v>
      </c>
    </row>
    <row r="96" spans="1:22" x14ac:dyDescent="0.3">
      <c r="A96" t="s">
        <v>12</v>
      </c>
      <c r="B96" t="s">
        <v>13</v>
      </c>
      <c r="C96">
        <v>2016</v>
      </c>
      <c r="D96">
        <v>26.7</v>
      </c>
      <c r="E96" s="1">
        <v>83109288</v>
      </c>
      <c r="F96" s="1">
        <v>28084351</v>
      </c>
      <c r="G96" s="1">
        <v>19754414</v>
      </c>
      <c r="H96" s="1">
        <v>35098597</v>
      </c>
      <c r="I96" s="1">
        <v>171926</v>
      </c>
      <c r="J96">
        <v>69</v>
      </c>
      <c r="K96">
        <v>93</v>
      </c>
      <c r="L96" t="s">
        <v>14</v>
      </c>
      <c r="M96">
        <f>mlb_payrolls[[#This Row],[Wins]] + mlb_payrolls[[#This Row],[Losses]]</f>
        <v>162</v>
      </c>
      <c r="N96" s="2">
        <f>IF(mlb_payrolls[[#This Row],[Games]] &gt;0, mlb_payrolls[[#This Row],[Wins]]/mlb_payrolls[[#This Row],[Games]], "")</f>
        <v>0.42592592592592593</v>
      </c>
      <c r="O96" s="1">
        <f>IFERROR(VALUE(mlb_payrolls[[#This Row],[Total Payroll Allocations]])/VALUE(mlb_payrolls[[#This Row],[Wins]]),"")</f>
        <v>1204482.4347826086</v>
      </c>
      <c r="P96" s="1">
        <f>SUM(mlb_payrolls[[#This Row],[Active 26-Man]],mlb_payrolls[[#This Row],[Injured]],mlb_payrolls[[#This Row],[Retained]],mlb_payrolls[[#This Row],[Buried]])</f>
        <v>83109288</v>
      </c>
      <c r="Q96" s="1">
        <f>mlb_payrolls[[#This Row],[Total Payroll Allocations]]-mlb_payrolls[[#This Row],[Payroll Parts Sum]]</f>
        <v>0</v>
      </c>
      <c r="R96" s="2">
        <f>IF(mlb_payrolls[[#This Row],[Total Payroll Allocations]]&gt;0, mlb_payrolls[[#This Row],[Active 26-Man]]/mlb_payrolls[[#This Row],[Total Payroll Allocations]],"")</f>
        <v>0.33792072674235879</v>
      </c>
      <c r="S96" s="2">
        <f>IF(mlb_payrolls[[#This Row],[Total Payroll Allocations]]&gt;0,mlb_payrolls[[#This Row],[Injured]]/mlb_payrolls[[#This Row],[Total Payroll Allocations]])</f>
        <v>0.23769201343657281</v>
      </c>
      <c r="T96" s="3">
        <f>IF(mlb_payrolls[[#This Row],[Total Payroll Allocations]]&gt;0,mlb_payrolls[[#This Row],[Retained]]/mlb_payrolls[[#This Row],[Total Payroll Allocations]])</f>
        <v>0.42231858610074963</v>
      </c>
      <c r="U96" s="3">
        <f>IF(mlb_payrolls[[#This Row],[Total Payroll Allocations]]&gt;0,mlb_payrolls[[#This Row],[Buried]]/mlb_payrolls[[#This Row],[Total Payroll Allocations]])</f>
        <v>2.0686737203187205E-3</v>
      </c>
      <c r="V96">
        <f>IF(mlb_payrolls[[#This Row],[Postseason]]="No Playoffs",0,1)</f>
        <v>0</v>
      </c>
    </row>
    <row r="97" spans="1:22" x14ac:dyDescent="0.3">
      <c r="A97" t="s">
        <v>41</v>
      </c>
      <c r="B97" t="s">
        <v>42</v>
      </c>
      <c r="C97">
        <v>2016</v>
      </c>
      <c r="D97">
        <v>27.2</v>
      </c>
      <c r="E97" s="1">
        <v>83435559</v>
      </c>
      <c r="F97" s="1">
        <v>21508794</v>
      </c>
      <c r="G97" s="1">
        <v>13711664</v>
      </c>
      <c r="H97" s="1">
        <v>48181815</v>
      </c>
      <c r="I97" s="1">
        <v>33286</v>
      </c>
      <c r="J97">
        <v>68</v>
      </c>
      <c r="K97">
        <v>94</v>
      </c>
      <c r="L97" t="s">
        <v>14</v>
      </c>
      <c r="M97">
        <f>mlb_payrolls[[#This Row],[Wins]] + mlb_payrolls[[#This Row],[Losses]]</f>
        <v>162</v>
      </c>
      <c r="N97" s="2">
        <f>IF(mlb_payrolls[[#This Row],[Games]] &gt;0, mlb_payrolls[[#This Row],[Wins]]/mlb_payrolls[[#This Row],[Games]], "")</f>
        <v>0.41975308641975306</v>
      </c>
      <c r="O97" s="1">
        <f>IFERROR(VALUE(mlb_payrolls[[#This Row],[Total Payroll Allocations]])/VALUE(mlb_payrolls[[#This Row],[Wins]]),"")</f>
        <v>1226993.5147058824</v>
      </c>
      <c r="P97" s="1">
        <f>SUM(mlb_payrolls[[#This Row],[Active 26-Man]],mlb_payrolls[[#This Row],[Injured]],mlb_payrolls[[#This Row],[Retained]],mlb_payrolls[[#This Row],[Buried]])</f>
        <v>83435559</v>
      </c>
      <c r="Q97" s="1">
        <f>mlb_payrolls[[#This Row],[Total Payroll Allocations]]-mlb_payrolls[[#This Row],[Payroll Parts Sum]]</f>
        <v>0</v>
      </c>
      <c r="R97" s="2">
        <f>IF(mlb_payrolls[[#This Row],[Total Payroll Allocations]]&gt;0, mlb_payrolls[[#This Row],[Active 26-Man]]/mlb_payrolls[[#This Row],[Total Payroll Allocations]],"")</f>
        <v>0.25778929580851734</v>
      </c>
      <c r="S97" s="2">
        <f>IF(mlb_payrolls[[#This Row],[Total Payroll Allocations]]&gt;0,mlb_payrolls[[#This Row],[Injured]]/mlb_payrolls[[#This Row],[Total Payroll Allocations]])</f>
        <v>0.16433837280337513</v>
      </c>
      <c r="T97" s="3">
        <f>IF(mlb_payrolls[[#This Row],[Total Payroll Allocations]]&gt;0,mlb_payrolls[[#This Row],[Retained]]/mlb_payrolls[[#This Row],[Total Payroll Allocations]])</f>
        <v>0.57747338877420362</v>
      </c>
      <c r="U97" s="3">
        <f>IF(mlb_payrolls[[#This Row],[Total Payroll Allocations]]&gt;0,mlb_payrolls[[#This Row],[Buried]]/mlb_payrolls[[#This Row],[Total Payroll Allocations]])</f>
        <v>3.989426139039831E-4</v>
      </c>
      <c r="V97">
        <f>IF(mlb_payrolls[[#This Row],[Postseason]]="No Playoffs",0,1)</f>
        <v>0</v>
      </c>
    </row>
    <row r="98" spans="1:22" x14ac:dyDescent="0.3">
      <c r="A98" t="s">
        <v>19</v>
      </c>
      <c r="B98" t="s">
        <v>20</v>
      </c>
      <c r="C98">
        <v>2021</v>
      </c>
      <c r="D98">
        <v>27.5</v>
      </c>
      <c r="E98" s="1">
        <v>83698945</v>
      </c>
      <c r="F98" s="1">
        <v>61408153</v>
      </c>
      <c r="G98" s="1">
        <v>13503703</v>
      </c>
      <c r="H98" s="1">
        <v>8352752</v>
      </c>
      <c r="I98" s="1">
        <v>434337</v>
      </c>
      <c r="J98">
        <v>77</v>
      </c>
      <c r="K98">
        <v>85</v>
      </c>
      <c r="L98" t="s">
        <v>14</v>
      </c>
      <c r="M98">
        <f>mlb_payrolls[[#This Row],[Wins]] + mlb_payrolls[[#This Row],[Losses]]</f>
        <v>162</v>
      </c>
      <c r="N98" s="2">
        <f>IF(mlb_payrolls[[#This Row],[Games]] &gt;0, mlb_payrolls[[#This Row],[Wins]]/mlb_payrolls[[#This Row],[Games]], "")</f>
        <v>0.47530864197530864</v>
      </c>
      <c r="O98" s="1">
        <f>IFERROR(VALUE(mlb_payrolls[[#This Row],[Total Payroll Allocations]])/VALUE(mlb_payrolls[[#This Row],[Wins]]),"")</f>
        <v>1086999.2857142857</v>
      </c>
      <c r="P98" s="1">
        <f>SUM(mlb_payrolls[[#This Row],[Active 26-Man]],mlb_payrolls[[#This Row],[Injured]],mlb_payrolls[[#This Row],[Retained]],mlb_payrolls[[#This Row],[Buried]])</f>
        <v>83698945</v>
      </c>
      <c r="Q98" s="1">
        <f>mlb_payrolls[[#This Row],[Total Payroll Allocations]]-mlb_payrolls[[#This Row],[Payroll Parts Sum]]</f>
        <v>0</v>
      </c>
      <c r="R98" s="2">
        <f>IF(mlb_payrolls[[#This Row],[Total Payroll Allocations]]&gt;0, mlb_payrolls[[#This Row],[Active 26-Man]]/mlb_payrolls[[#This Row],[Total Payroll Allocations]],"")</f>
        <v>0.73367893705231291</v>
      </c>
      <c r="S98" s="2">
        <f>IF(mlb_payrolls[[#This Row],[Total Payroll Allocations]]&gt;0,mlb_payrolls[[#This Row],[Injured]]/mlb_payrolls[[#This Row],[Total Payroll Allocations]])</f>
        <v>0.16133659749235787</v>
      </c>
      <c r="T98" s="3">
        <f>IF(mlb_payrolls[[#This Row],[Total Payroll Allocations]]&gt;0,mlb_payrolls[[#This Row],[Retained]]/mlb_payrolls[[#This Row],[Total Payroll Allocations]])</f>
        <v>9.9795188577347066E-2</v>
      </c>
      <c r="U98" s="3">
        <f>IF(mlb_payrolls[[#This Row],[Total Payroll Allocations]]&gt;0,mlb_payrolls[[#This Row],[Buried]]/mlb_payrolls[[#This Row],[Total Payroll Allocations]])</f>
        <v>5.1892768779821536E-3</v>
      </c>
      <c r="V98">
        <f>IF(mlb_payrolls[[#This Row],[Postseason]]="No Playoffs",0,1)</f>
        <v>0</v>
      </c>
    </row>
    <row r="99" spans="1:22" x14ac:dyDescent="0.3">
      <c r="A99" t="s">
        <v>39</v>
      </c>
      <c r="B99" t="s">
        <v>40</v>
      </c>
      <c r="C99">
        <v>2021</v>
      </c>
      <c r="D99">
        <v>27.4</v>
      </c>
      <c r="E99" s="1">
        <v>83822113</v>
      </c>
      <c r="F99" s="1">
        <v>57010274</v>
      </c>
      <c r="G99" s="1">
        <v>16037933</v>
      </c>
      <c r="H99" s="1">
        <v>8004079</v>
      </c>
      <c r="I99" s="1">
        <v>2199327</v>
      </c>
      <c r="J99">
        <v>90</v>
      </c>
      <c r="K99">
        <v>72</v>
      </c>
      <c r="L99" t="s">
        <v>14</v>
      </c>
      <c r="M99">
        <f>mlb_payrolls[[#This Row],[Wins]] + mlb_payrolls[[#This Row],[Losses]]</f>
        <v>162</v>
      </c>
      <c r="N99" s="2">
        <f>IF(mlb_payrolls[[#This Row],[Games]] &gt;0, mlb_payrolls[[#This Row],[Wins]]/mlb_payrolls[[#This Row],[Games]], "")</f>
        <v>0.55555555555555558</v>
      </c>
      <c r="O99" s="1">
        <f>IFERROR(VALUE(mlb_payrolls[[#This Row],[Total Payroll Allocations]])/VALUE(mlb_payrolls[[#This Row],[Wins]]),"")</f>
        <v>931356.81111111108</v>
      </c>
      <c r="P99" s="1">
        <f>SUM(mlb_payrolls[[#This Row],[Active 26-Man]],mlb_payrolls[[#This Row],[Injured]],mlb_payrolls[[#This Row],[Retained]],mlb_payrolls[[#This Row],[Buried]])</f>
        <v>83251613</v>
      </c>
      <c r="Q99" s="1">
        <f>mlb_payrolls[[#This Row],[Total Payroll Allocations]]-mlb_payrolls[[#This Row],[Payroll Parts Sum]]</f>
        <v>570500</v>
      </c>
      <c r="R99" s="2">
        <f>IF(mlb_payrolls[[#This Row],[Total Payroll Allocations]]&gt;0, mlb_payrolls[[#This Row],[Active 26-Man]]/mlb_payrolls[[#This Row],[Total Payroll Allocations]],"")</f>
        <v>0.68013405961264661</v>
      </c>
      <c r="S99" s="2">
        <f>IF(mlb_payrolls[[#This Row],[Total Payroll Allocations]]&gt;0,mlb_payrolls[[#This Row],[Injured]]/mlb_payrolls[[#This Row],[Total Payroll Allocations]])</f>
        <v>0.19133296007462852</v>
      </c>
      <c r="T99" s="3">
        <f>IF(mlb_payrolls[[#This Row],[Total Payroll Allocations]]&gt;0,mlb_payrolls[[#This Row],[Retained]]/mlb_payrolls[[#This Row],[Total Payroll Allocations]])</f>
        <v>9.5488871773012934E-2</v>
      </c>
      <c r="U99" s="3">
        <f>IF(mlb_payrolls[[#This Row],[Total Payroll Allocations]]&gt;0,mlb_payrolls[[#This Row],[Buried]]/mlb_payrolls[[#This Row],[Total Payroll Allocations]])</f>
        <v>2.6238028621397316E-2</v>
      </c>
      <c r="V99">
        <f>IF(mlb_payrolls[[#This Row],[Postseason]]="No Playoffs",0,1)</f>
        <v>0</v>
      </c>
    </row>
    <row r="100" spans="1:22" x14ac:dyDescent="0.3">
      <c r="A100" t="s">
        <v>15</v>
      </c>
      <c r="B100" t="s">
        <v>16</v>
      </c>
      <c r="C100">
        <v>2024</v>
      </c>
      <c r="D100">
        <v>27.7</v>
      </c>
      <c r="E100" s="1">
        <v>84050989</v>
      </c>
      <c r="F100" s="1">
        <v>51220210</v>
      </c>
      <c r="G100" s="1">
        <v>14524211</v>
      </c>
      <c r="H100" s="1">
        <v>15341351</v>
      </c>
      <c r="I100" s="1">
        <v>2965217</v>
      </c>
      <c r="J100">
        <v>76</v>
      </c>
      <c r="K100">
        <v>86</v>
      </c>
      <c r="L100" t="s">
        <v>14</v>
      </c>
      <c r="M100">
        <f>mlb_payrolls[[#This Row],[Wins]] + mlb_payrolls[[#This Row],[Losses]]</f>
        <v>162</v>
      </c>
      <c r="N100" s="2">
        <f>IF(mlb_payrolls[[#This Row],[Games]] &gt;0, mlb_payrolls[[#This Row],[Wins]]/mlb_payrolls[[#This Row],[Games]], "")</f>
        <v>0.46913580246913578</v>
      </c>
      <c r="O100" s="1">
        <f>IFERROR(VALUE(mlb_payrolls[[#This Row],[Total Payroll Allocations]])/VALUE(mlb_payrolls[[#This Row],[Wins]]),"")</f>
        <v>1105934.0657894737</v>
      </c>
      <c r="P100" s="1">
        <f>SUM(mlb_payrolls[[#This Row],[Active 26-Man]],mlb_payrolls[[#This Row],[Injured]],mlb_payrolls[[#This Row],[Retained]],mlb_payrolls[[#This Row],[Buried]])</f>
        <v>84050989</v>
      </c>
      <c r="Q100" s="1">
        <f>mlb_payrolls[[#This Row],[Total Payroll Allocations]]-mlb_payrolls[[#This Row],[Payroll Parts Sum]]</f>
        <v>0</v>
      </c>
      <c r="R100" s="2">
        <f>IF(mlb_payrolls[[#This Row],[Total Payroll Allocations]]&gt;0, mlb_payrolls[[#This Row],[Active 26-Man]]/mlb_payrolls[[#This Row],[Total Payroll Allocations]],"")</f>
        <v>0.60939449504871379</v>
      </c>
      <c r="S100" s="2">
        <f>IF(mlb_payrolls[[#This Row],[Total Payroll Allocations]]&gt;0,mlb_payrolls[[#This Row],[Injured]]/mlb_payrolls[[#This Row],[Total Payroll Allocations]])</f>
        <v>0.17280238070726331</v>
      </c>
      <c r="T100" s="3">
        <f>IF(mlb_payrolls[[#This Row],[Total Payroll Allocations]]&gt;0,mlb_payrolls[[#This Row],[Retained]]/mlb_payrolls[[#This Row],[Total Payroll Allocations]])</f>
        <v>0.18252433650721231</v>
      </c>
      <c r="U100" s="3">
        <f>IF(mlb_payrolls[[#This Row],[Total Payroll Allocations]]&gt;0,mlb_payrolls[[#This Row],[Buried]]/mlb_payrolls[[#This Row],[Total Payroll Allocations]])</f>
        <v>3.527878773681057E-2</v>
      </c>
      <c r="V100">
        <f>IF(mlb_payrolls[[#This Row],[Postseason]]="No Playoffs",0,1)</f>
        <v>0</v>
      </c>
    </row>
    <row r="101" spans="1:22" x14ac:dyDescent="0.3">
      <c r="A101" t="s">
        <v>47</v>
      </c>
      <c r="B101" t="s">
        <v>48</v>
      </c>
      <c r="C101">
        <v>2020</v>
      </c>
      <c r="D101">
        <v>27.6</v>
      </c>
      <c r="E101" s="1">
        <v>84210390</v>
      </c>
      <c r="F101" s="1">
        <v>36071047</v>
      </c>
      <c r="G101" s="1">
        <v>16644224</v>
      </c>
      <c r="H101" s="1">
        <v>15553004</v>
      </c>
      <c r="I101" s="1">
        <v>15719893</v>
      </c>
      <c r="J101">
        <v>24</v>
      </c>
      <c r="K101">
        <v>36</v>
      </c>
      <c r="L101" t="s">
        <v>14</v>
      </c>
      <c r="M101">
        <f>mlb_payrolls[[#This Row],[Wins]] + mlb_payrolls[[#This Row],[Losses]]</f>
        <v>60</v>
      </c>
      <c r="N101" s="2">
        <f>IF(mlb_payrolls[[#This Row],[Games]] &gt;0, mlb_payrolls[[#This Row],[Wins]]/mlb_payrolls[[#This Row],[Games]], "")</f>
        <v>0.4</v>
      </c>
      <c r="O101" s="1">
        <f>IFERROR(VALUE(mlb_payrolls[[#This Row],[Total Payroll Allocations]])/VALUE(mlb_payrolls[[#This Row],[Wins]]),"")</f>
        <v>3508766.25</v>
      </c>
      <c r="P101" s="1">
        <f>SUM(mlb_payrolls[[#This Row],[Active 26-Man]],mlb_payrolls[[#This Row],[Injured]],mlb_payrolls[[#This Row],[Retained]],mlb_payrolls[[#This Row],[Buried]])</f>
        <v>83988168</v>
      </c>
      <c r="Q101" s="1">
        <f>mlb_payrolls[[#This Row],[Total Payroll Allocations]]-mlb_payrolls[[#This Row],[Payroll Parts Sum]]</f>
        <v>222222</v>
      </c>
      <c r="R101" s="2">
        <f>IF(mlb_payrolls[[#This Row],[Total Payroll Allocations]]&gt;0, mlb_payrolls[[#This Row],[Active 26-Man]]/mlb_payrolls[[#This Row],[Total Payroll Allocations]],"")</f>
        <v>0.42834437650745949</v>
      </c>
      <c r="S101" s="2">
        <f>IF(mlb_payrolls[[#This Row],[Total Payroll Allocations]]&gt;0,mlb_payrolls[[#This Row],[Injured]]/mlb_payrolls[[#This Row],[Total Payroll Allocations]])</f>
        <v>0.19765047994671442</v>
      </c>
      <c r="T101" s="3">
        <f>IF(mlb_payrolls[[#This Row],[Total Payroll Allocations]]&gt;0,mlb_payrolls[[#This Row],[Retained]]/mlb_payrolls[[#This Row],[Total Payroll Allocations]])</f>
        <v>0.18469222147053352</v>
      </c>
      <c r="U101" s="3">
        <f>IF(mlb_payrolls[[#This Row],[Total Payroll Allocations]]&gt;0,mlb_payrolls[[#This Row],[Buried]]/mlb_payrolls[[#This Row],[Total Payroll Allocations]])</f>
        <v>0.18667403155358858</v>
      </c>
      <c r="V101">
        <f>IF(mlb_payrolls[[#This Row],[Postseason]]="No Playoffs",0,1)</f>
        <v>0</v>
      </c>
    </row>
    <row r="102" spans="1:22" x14ac:dyDescent="0.3">
      <c r="A102" t="s">
        <v>39</v>
      </c>
      <c r="B102" t="s">
        <v>40</v>
      </c>
      <c r="C102">
        <v>2012</v>
      </c>
      <c r="D102">
        <v>26.7</v>
      </c>
      <c r="E102" s="1">
        <v>84289928</v>
      </c>
      <c r="F102" s="1">
        <v>73071348</v>
      </c>
      <c r="G102" s="1">
        <v>0</v>
      </c>
      <c r="H102" s="1">
        <v>11218580</v>
      </c>
      <c r="I102" s="1">
        <v>0</v>
      </c>
      <c r="J102">
        <v>75</v>
      </c>
      <c r="K102">
        <v>87</v>
      </c>
      <c r="L102" t="s">
        <v>14</v>
      </c>
      <c r="M102">
        <f>mlb_payrolls[[#This Row],[Wins]] + mlb_payrolls[[#This Row],[Losses]]</f>
        <v>162</v>
      </c>
      <c r="N102" s="2">
        <f>IF(mlb_payrolls[[#This Row],[Games]] &gt;0, mlb_payrolls[[#This Row],[Wins]]/mlb_payrolls[[#This Row],[Games]], "")</f>
        <v>0.46296296296296297</v>
      </c>
      <c r="O102" s="1">
        <f>IFERROR(VALUE(mlb_payrolls[[#This Row],[Total Payroll Allocations]])/VALUE(mlb_payrolls[[#This Row],[Wins]]),"")</f>
        <v>1123865.7066666668</v>
      </c>
      <c r="P102" s="1">
        <f>SUM(mlb_payrolls[[#This Row],[Active 26-Man]],mlb_payrolls[[#This Row],[Injured]],mlb_payrolls[[#This Row],[Retained]],mlb_payrolls[[#This Row],[Buried]])</f>
        <v>84289928</v>
      </c>
      <c r="Q102" s="1">
        <f>mlb_payrolls[[#This Row],[Total Payroll Allocations]]-mlb_payrolls[[#This Row],[Payroll Parts Sum]]</f>
        <v>0</v>
      </c>
      <c r="R102" s="2">
        <f>IF(mlb_payrolls[[#This Row],[Total Payroll Allocations]]&gt;0, mlb_payrolls[[#This Row],[Active 26-Man]]/mlb_payrolls[[#This Row],[Total Payroll Allocations]],"")</f>
        <v>0.86690485724462829</v>
      </c>
      <c r="S102" s="2">
        <f>IF(mlb_payrolls[[#This Row],[Total Payroll Allocations]]&gt;0,mlb_payrolls[[#This Row],[Injured]]/mlb_payrolls[[#This Row],[Total Payroll Allocations]])</f>
        <v>0</v>
      </c>
      <c r="T102" s="3">
        <f>IF(mlb_payrolls[[#This Row],[Total Payroll Allocations]]&gt;0,mlb_payrolls[[#This Row],[Retained]]/mlb_payrolls[[#This Row],[Total Payroll Allocations]])</f>
        <v>0.13309514275537168</v>
      </c>
      <c r="U102" s="3">
        <f>IF(mlb_payrolls[[#This Row],[Total Payroll Allocations]]&gt;0,mlb_payrolls[[#This Row],[Buried]]/mlb_payrolls[[#This Row],[Total Payroll Allocations]])</f>
        <v>0</v>
      </c>
      <c r="V102">
        <f>IF(mlb_payrolls[[#This Row],[Postseason]]="No Playoffs",0,1)</f>
        <v>0</v>
      </c>
    </row>
    <row r="103" spans="1:22" x14ac:dyDescent="0.3">
      <c r="A103" t="s">
        <v>31</v>
      </c>
      <c r="B103" t="s">
        <v>32</v>
      </c>
      <c r="C103">
        <v>2013</v>
      </c>
      <c r="D103">
        <v>28.2</v>
      </c>
      <c r="E103" s="1">
        <v>84398434</v>
      </c>
      <c r="F103" s="1">
        <v>76594673</v>
      </c>
      <c r="G103" s="1">
        <v>0</v>
      </c>
      <c r="H103" s="1">
        <v>6399663</v>
      </c>
      <c r="I103" s="1">
        <v>1404098</v>
      </c>
      <c r="J103">
        <v>86</v>
      </c>
      <c r="K103">
        <v>76</v>
      </c>
      <c r="L103" t="s">
        <v>14</v>
      </c>
      <c r="M103">
        <f>mlb_payrolls[[#This Row],[Wins]] + mlb_payrolls[[#This Row],[Losses]]</f>
        <v>162</v>
      </c>
      <c r="N103" s="2">
        <f>IF(mlb_payrolls[[#This Row],[Games]] &gt;0, mlb_payrolls[[#This Row],[Wins]]/mlb_payrolls[[#This Row],[Games]], "")</f>
        <v>0.53086419753086422</v>
      </c>
      <c r="O103" s="1">
        <f>IFERROR(VALUE(mlb_payrolls[[#This Row],[Total Payroll Allocations]])/VALUE(mlb_payrolls[[#This Row],[Wins]]),"")</f>
        <v>981377.13953488367</v>
      </c>
      <c r="P103" s="1">
        <f>SUM(mlb_payrolls[[#This Row],[Active 26-Man]],mlb_payrolls[[#This Row],[Injured]],mlb_payrolls[[#This Row],[Retained]],mlb_payrolls[[#This Row],[Buried]])</f>
        <v>84398434</v>
      </c>
      <c r="Q103" s="1">
        <f>mlb_payrolls[[#This Row],[Total Payroll Allocations]]-mlb_payrolls[[#This Row],[Payroll Parts Sum]]</f>
        <v>0</v>
      </c>
      <c r="R103" s="2">
        <f>IF(mlb_payrolls[[#This Row],[Total Payroll Allocations]]&gt;0, mlb_payrolls[[#This Row],[Active 26-Man]]/mlb_payrolls[[#This Row],[Total Payroll Allocations]],"")</f>
        <v>0.90753666116601173</v>
      </c>
      <c r="S103" s="2">
        <f>IF(mlb_payrolls[[#This Row],[Total Payroll Allocations]]&gt;0,mlb_payrolls[[#This Row],[Injured]]/mlb_payrolls[[#This Row],[Total Payroll Allocations]])</f>
        <v>0</v>
      </c>
      <c r="T103" s="3">
        <f>IF(mlb_payrolls[[#This Row],[Total Payroll Allocations]]&gt;0,mlb_payrolls[[#This Row],[Retained]]/mlb_payrolls[[#This Row],[Total Payroll Allocations]])</f>
        <v>7.5826797923762429E-2</v>
      </c>
      <c r="U103" s="3">
        <f>IF(mlb_payrolls[[#This Row],[Total Payroll Allocations]]&gt;0,mlb_payrolls[[#This Row],[Buried]]/mlb_payrolls[[#This Row],[Total Payroll Allocations]])</f>
        <v>1.6636540910225893E-2</v>
      </c>
      <c r="V103">
        <f>IF(mlb_payrolls[[#This Row],[Postseason]]="No Playoffs",0,1)</f>
        <v>0</v>
      </c>
    </row>
    <row r="104" spans="1:22" x14ac:dyDescent="0.3">
      <c r="A104" t="s">
        <v>22</v>
      </c>
      <c r="B104" t="s">
        <v>23</v>
      </c>
      <c r="C104">
        <v>2014</v>
      </c>
      <c r="D104">
        <v>27.7</v>
      </c>
      <c r="E104" s="1">
        <v>84481929</v>
      </c>
      <c r="F104" s="1">
        <v>60720646</v>
      </c>
      <c r="G104" s="1">
        <v>0</v>
      </c>
      <c r="H104" s="1">
        <v>23415930</v>
      </c>
      <c r="I104" s="1">
        <v>345353</v>
      </c>
      <c r="J104">
        <v>85</v>
      </c>
      <c r="K104">
        <v>77</v>
      </c>
      <c r="L104" t="s">
        <v>14</v>
      </c>
      <c r="M104">
        <f>mlb_payrolls[[#This Row],[Wins]] + mlb_payrolls[[#This Row],[Losses]]</f>
        <v>162</v>
      </c>
      <c r="N104" s="2">
        <f>IF(mlb_payrolls[[#This Row],[Games]] &gt;0, mlb_payrolls[[#This Row],[Wins]]/mlb_payrolls[[#This Row],[Games]], "")</f>
        <v>0.52469135802469136</v>
      </c>
      <c r="O104" s="1">
        <f>IFERROR(VALUE(mlb_payrolls[[#This Row],[Total Payroll Allocations]])/VALUE(mlb_payrolls[[#This Row],[Wins]]),"")</f>
        <v>993905.04705882352</v>
      </c>
      <c r="P104" s="1">
        <f>SUM(mlb_payrolls[[#This Row],[Active 26-Man]],mlb_payrolls[[#This Row],[Injured]],mlb_payrolls[[#This Row],[Retained]],mlb_payrolls[[#This Row],[Buried]])</f>
        <v>84481929</v>
      </c>
      <c r="Q104" s="1">
        <f>mlb_payrolls[[#This Row],[Total Payroll Allocations]]-mlb_payrolls[[#This Row],[Payroll Parts Sum]]</f>
        <v>0</v>
      </c>
      <c r="R104" s="2">
        <f>IF(mlb_payrolls[[#This Row],[Total Payroll Allocations]]&gt;0, mlb_payrolls[[#This Row],[Active 26-Man]]/mlb_payrolls[[#This Row],[Total Payroll Allocations]],"")</f>
        <v>0.71874123518178668</v>
      </c>
      <c r="S104" s="2">
        <f>IF(mlb_payrolls[[#This Row],[Total Payroll Allocations]]&gt;0,mlb_payrolls[[#This Row],[Injured]]/mlb_payrolls[[#This Row],[Total Payroll Allocations]])</f>
        <v>0</v>
      </c>
      <c r="T104" s="3">
        <f>IF(mlb_payrolls[[#This Row],[Total Payroll Allocations]]&gt;0,mlb_payrolls[[#This Row],[Retained]]/mlb_payrolls[[#This Row],[Total Payroll Allocations]])</f>
        <v>0.27717087283837943</v>
      </c>
      <c r="U104" s="3">
        <f>IF(mlb_payrolls[[#This Row],[Total Payroll Allocations]]&gt;0,mlb_payrolls[[#This Row],[Buried]]/mlb_payrolls[[#This Row],[Total Payroll Allocations]])</f>
        <v>4.087891979833936E-3</v>
      </c>
      <c r="V104">
        <f>IF(mlb_payrolls[[#This Row],[Postseason]]="No Playoffs",0,1)</f>
        <v>0</v>
      </c>
    </row>
    <row r="105" spans="1:22" x14ac:dyDescent="0.3">
      <c r="A105" t="s">
        <v>65</v>
      </c>
      <c r="B105" t="s">
        <v>66</v>
      </c>
      <c r="C105">
        <v>2011</v>
      </c>
      <c r="D105">
        <v>27.2</v>
      </c>
      <c r="E105" s="1">
        <v>84598388</v>
      </c>
      <c r="F105" s="1">
        <v>71121885</v>
      </c>
      <c r="G105" s="1">
        <v>0</v>
      </c>
      <c r="H105" s="1">
        <v>13476503</v>
      </c>
      <c r="I105" s="1">
        <v>0</v>
      </c>
      <c r="J105">
        <v>56</v>
      </c>
      <c r="K105">
        <v>106</v>
      </c>
      <c r="L105" t="s">
        <v>14</v>
      </c>
      <c r="M105">
        <f>mlb_payrolls[[#This Row],[Wins]] + mlb_payrolls[[#This Row],[Losses]]</f>
        <v>162</v>
      </c>
      <c r="N105" s="2">
        <f>IF(mlb_payrolls[[#This Row],[Games]] &gt;0, mlb_payrolls[[#This Row],[Wins]]/mlb_payrolls[[#This Row],[Games]], "")</f>
        <v>0.34567901234567899</v>
      </c>
      <c r="O105" s="1">
        <f>IFERROR(VALUE(mlb_payrolls[[#This Row],[Total Payroll Allocations]])/VALUE(mlb_payrolls[[#This Row],[Wins]]),"")</f>
        <v>1510685.5</v>
      </c>
      <c r="P105" s="1">
        <f>SUM(mlb_payrolls[[#This Row],[Active 26-Man]],mlb_payrolls[[#This Row],[Injured]],mlb_payrolls[[#This Row],[Retained]],mlb_payrolls[[#This Row],[Buried]])</f>
        <v>84598388</v>
      </c>
      <c r="Q105" s="1">
        <f>mlb_payrolls[[#This Row],[Total Payroll Allocations]]-mlb_payrolls[[#This Row],[Payroll Parts Sum]]</f>
        <v>0</v>
      </c>
      <c r="R105" s="2">
        <f>IF(mlb_payrolls[[#This Row],[Total Payroll Allocations]]&gt;0, mlb_payrolls[[#This Row],[Active 26-Man]]/mlb_payrolls[[#This Row],[Total Payroll Allocations]],"")</f>
        <v>0.84070023887452794</v>
      </c>
      <c r="S105" s="2">
        <f>IF(mlb_payrolls[[#This Row],[Total Payroll Allocations]]&gt;0,mlb_payrolls[[#This Row],[Injured]]/mlb_payrolls[[#This Row],[Total Payroll Allocations]])</f>
        <v>0</v>
      </c>
      <c r="T105" s="3">
        <f>IF(mlb_payrolls[[#This Row],[Total Payroll Allocations]]&gt;0,mlb_payrolls[[#This Row],[Retained]]/mlb_payrolls[[#This Row],[Total Payroll Allocations]])</f>
        <v>0.15929976112547203</v>
      </c>
      <c r="U105" s="3">
        <f>IF(mlb_payrolls[[#This Row],[Total Payroll Allocations]]&gt;0,mlb_payrolls[[#This Row],[Buried]]/mlb_payrolls[[#This Row],[Total Payroll Allocations]])</f>
        <v>0</v>
      </c>
      <c r="V105">
        <f>IF(mlb_payrolls[[#This Row],[Postseason]]="No Playoffs",0,1)</f>
        <v>0</v>
      </c>
    </row>
    <row r="106" spans="1:22" x14ac:dyDescent="0.3">
      <c r="A106" t="s">
        <v>41</v>
      </c>
      <c r="B106" t="s">
        <v>42</v>
      </c>
      <c r="C106">
        <v>2014</v>
      </c>
      <c r="D106">
        <v>27.6</v>
      </c>
      <c r="E106" s="1">
        <v>85001967</v>
      </c>
      <c r="F106" s="1">
        <v>67296350</v>
      </c>
      <c r="G106" s="1">
        <v>501400</v>
      </c>
      <c r="H106" s="1">
        <v>16594743</v>
      </c>
      <c r="I106" s="1">
        <v>609474</v>
      </c>
      <c r="J106">
        <v>77</v>
      </c>
      <c r="K106">
        <v>85</v>
      </c>
      <c r="L106" t="s">
        <v>14</v>
      </c>
      <c r="M106">
        <f>mlb_payrolls[[#This Row],[Wins]] + mlb_payrolls[[#This Row],[Losses]]</f>
        <v>162</v>
      </c>
      <c r="N106" s="2">
        <f>IF(mlb_payrolls[[#This Row],[Games]] &gt;0, mlb_payrolls[[#This Row],[Wins]]/mlb_payrolls[[#This Row],[Games]], "")</f>
        <v>0.47530864197530864</v>
      </c>
      <c r="O106" s="1">
        <f>IFERROR(VALUE(mlb_payrolls[[#This Row],[Total Payroll Allocations]])/VALUE(mlb_payrolls[[#This Row],[Wins]]),"")</f>
        <v>1103921.6493506494</v>
      </c>
      <c r="P106" s="1">
        <f>SUM(mlb_payrolls[[#This Row],[Active 26-Man]],mlb_payrolls[[#This Row],[Injured]],mlb_payrolls[[#This Row],[Retained]],mlb_payrolls[[#This Row],[Buried]])</f>
        <v>85001967</v>
      </c>
      <c r="Q106" s="1">
        <f>mlb_payrolls[[#This Row],[Total Payroll Allocations]]-mlb_payrolls[[#This Row],[Payroll Parts Sum]]</f>
        <v>0</v>
      </c>
      <c r="R106" s="2">
        <f>IF(mlb_payrolls[[#This Row],[Total Payroll Allocations]]&gt;0, mlb_payrolls[[#This Row],[Active 26-Man]]/mlb_payrolls[[#This Row],[Total Payroll Allocations]],"")</f>
        <v>0.79170344375677804</v>
      </c>
      <c r="S106" s="2">
        <f>IF(mlb_payrolls[[#This Row],[Total Payroll Allocations]]&gt;0,mlb_payrolls[[#This Row],[Injured]]/mlb_payrolls[[#This Row],[Total Payroll Allocations]])</f>
        <v>5.8986870268543318E-3</v>
      </c>
      <c r="T106" s="3">
        <f>IF(mlb_payrolls[[#This Row],[Total Payroll Allocations]]&gt;0,mlb_payrolls[[#This Row],[Retained]]/mlb_payrolls[[#This Row],[Total Payroll Allocations]])</f>
        <v>0.19522775278835605</v>
      </c>
      <c r="U106" s="3">
        <f>IF(mlb_payrolls[[#This Row],[Total Payroll Allocations]]&gt;0,mlb_payrolls[[#This Row],[Buried]]/mlb_payrolls[[#This Row],[Total Payroll Allocations]])</f>
        <v>7.1701164280116008E-3</v>
      </c>
      <c r="V106">
        <f>IF(mlb_payrolls[[#This Row],[Postseason]]="No Playoffs",0,1)</f>
        <v>0</v>
      </c>
    </row>
    <row r="107" spans="1:22" x14ac:dyDescent="0.3">
      <c r="A107" t="s">
        <v>43</v>
      </c>
      <c r="B107" t="s">
        <v>44</v>
      </c>
      <c r="C107">
        <v>2022</v>
      </c>
      <c r="D107">
        <v>27.8</v>
      </c>
      <c r="E107" s="1">
        <v>85293905</v>
      </c>
      <c r="F107" s="1">
        <v>53176803</v>
      </c>
      <c r="G107" s="1">
        <v>19224958</v>
      </c>
      <c r="H107" s="1">
        <v>9707562</v>
      </c>
      <c r="I107" s="1">
        <v>2484582</v>
      </c>
      <c r="J107">
        <v>74</v>
      </c>
      <c r="K107">
        <v>88</v>
      </c>
      <c r="L107" t="s">
        <v>14</v>
      </c>
      <c r="M107">
        <f>mlb_payrolls[[#This Row],[Wins]] + mlb_payrolls[[#This Row],[Losses]]</f>
        <v>162</v>
      </c>
      <c r="N107" s="2">
        <f>IF(mlb_payrolls[[#This Row],[Games]] &gt;0, mlb_payrolls[[#This Row],[Wins]]/mlb_payrolls[[#This Row],[Games]], "")</f>
        <v>0.4567901234567901</v>
      </c>
      <c r="O107" s="1">
        <f>IFERROR(VALUE(mlb_payrolls[[#This Row],[Total Payroll Allocations]])/VALUE(mlb_payrolls[[#This Row],[Wins]]),"")</f>
        <v>1152620.3378378379</v>
      </c>
      <c r="P107" s="1">
        <f>SUM(mlb_payrolls[[#This Row],[Active 26-Man]],mlb_payrolls[[#This Row],[Injured]],mlb_payrolls[[#This Row],[Retained]],mlb_payrolls[[#This Row],[Buried]])</f>
        <v>84593905</v>
      </c>
      <c r="Q107" s="1">
        <f>mlb_payrolls[[#This Row],[Total Payroll Allocations]]-mlb_payrolls[[#This Row],[Payroll Parts Sum]]</f>
        <v>700000</v>
      </c>
      <c r="R107" s="2">
        <f>IF(mlb_payrolls[[#This Row],[Total Payroll Allocations]]&gt;0, mlb_payrolls[[#This Row],[Active 26-Man]]/mlb_payrolls[[#This Row],[Total Payroll Allocations]],"")</f>
        <v>0.62345372743808603</v>
      </c>
      <c r="S107" s="2">
        <f>IF(mlb_payrolls[[#This Row],[Total Payroll Allocations]]&gt;0,mlb_payrolls[[#This Row],[Injured]]/mlb_payrolls[[#This Row],[Total Payroll Allocations]])</f>
        <v>0.22539662124743848</v>
      </c>
      <c r="T107" s="3">
        <f>IF(mlb_payrolls[[#This Row],[Total Payroll Allocations]]&gt;0,mlb_payrolls[[#This Row],[Retained]]/mlb_payrolls[[#This Row],[Total Payroll Allocations]])</f>
        <v>0.1138130796098502</v>
      </c>
      <c r="U107" s="3">
        <f>IF(mlb_payrolls[[#This Row],[Total Payroll Allocations]]&gt;0,mlb_payrolls[[#This Row],[Buried]]/mlb_payrolls[[#This Row],[Total Payroll Allocations]])</f>
        <v>2.9129654692208077E-2</v>
      </c>
      <c r="V107">
        <f>IF(mlb_payrolls[[#This Row],[Postseason]]="No Playoffs",0,1)</f>
        <v>0</v>
      </c>
    </row>
    <row r="108" spans="1:22" x14ac:dyDescent="0.3">
      <c r="A108" t="s">
        <v>69</v>
      </c>
      <c r="B108" t="s">
        <v>70</v>
      </c>
      <c r="C108">
        <v>2017</v>
      </c>
      <c r="D108">
        <v>26.3</v>
      </c>
      <c r="E108" s="1">
        <v>85495238</v>
      </c>
      <c r="F108" s="1">
        <v>32540383</v>
      </c>
      <c r="G108" s="1">
        <v>7571000</v>
      </c>
      <c r="H108" s="1">
        <v>44858846</v>
      </c>
      <c r="I108" s="1">
        <v>525009</v>
      </c>
      <c r="J108">
        <v>67</v>
      </c>
      <c r="K108">
        <v>95</v>
      </c>
      <c r="L108" t="s">
        <v>14</v>
      </c>
      <c r="M108">
        <f>mlb_payrolls[[#This Row],[Wins]] + mlb_payrolls[[#This Row],[Losses]]</f>
        <v>162</v>
      </c>
      <c r="N108" s="2">
        <f>IF(mlb_payrolls[[#This Row],[Games]] &gt;0, mlb_payrolls[[#This Row],[Wins]]/mlb_payrolls[[#This Row],[Games]], "")</f>
        <v>0.41358024691358025</v>
      </c>
      <c r="O108" s="1">
        <f>IFERROR(VALUE(mlb_payrolls[[#This Row],[Total Payroll Allocations]])/VALUE(mlb_payrolls[[#This Row],[Wins]]),"")</f>
        <v>1276048.328358209</v>
      </c>
      <c r="P108" s="1">
        <f>SUM(mlb_payrolls[[#This Row],[Active 26-Man]],mlb_payrolls[[#This Row],[Injured]],mlb_payrolls[[#This Row],[Retained]],mlb_payrolls[[#This Row],[Buried]])</f>
        <v>85495238</v>
      </c>
      <c r="Q108" s="1">
        <f>mlb_payrolls[[#This Row],[Total Payroll Allocations]]-mlb_payrolls[[#This Row],[Payroll Parts Sum]]</f>
        <v>0</v>
      </c>
      <c r="R108" s="2">
        <f>IF(mlb_payrolls[[#This Row],[Total Payroll Allocations]]&gt;0, mlb_payrolls[[#This Row],[Active 26-Man]]/mlb_payrolls[[#This Row],[Total Payroll Allocations]],"")</f>
        <v>0.38061047329910935</v>
      </c>
      <c r="S108" s="2">
        <f>IF(mlb_payrolls[[#This Row],[Total Payroll Allocations]]&gt;0,mlb_payrolls[[#This Row],[Injured]]/mlb_payrolls[[#This Row],[Total Payroll Allocations]])</f>
        <v>8.8554639733267951E-2</v>
      </c>
      <c r="T108" s="3">
        <f>IF(mlb_payrolls[[#This Row],[Total Payroll Allocations]]&gt;0,mlb_payrolls[[#This Row],[Retained]]/mlb_payrolls[[#This Row],[Total Payroll Allocations]])</f>
        <v>0.52469408880995216</v>
      </c>
      <c r="U108" s="3">
        <f>IF(mlb_payrolls[[#This Row],[Total Payroll Allocations]]&gt;0,mlb_payrolls[[#This Row],[Buried]]/mlb_payrolls[[#This Row],[Total Payroll Allocations]])</f>
        <v>6.1407981576704889E-3</v>
      </c>
      <c r="V108">
        <f>IF(mlb_payrolls[[#This Row],[Postseason]]="No Playoffs",0,1)</f>
        <v>0</v>
      </c>
    </row>
    <row r="109" spans="1:22" x14ac:dyDescent="0.3">
      <c r="A109" t="s">
        <v>61</v>
      </c>
      <c r="B109" t="s">
        <v>62</v>
      </c>
      <c r="C109">
        <v>2020</v>
      </c>
      <c r="D109">
        <v>28.8</v>
      </c>
      <c r="E109" s="1">
        <v>86012838</v>
      </c>
      <c r="F109" s="1">
        <v>66116504</v>
      </c>
      <c r="G109" s="1">
        <v>6448626</v>
      </c>
      <c r="H109" s="1">
        <v>12464463</v>
      </c>
      <c r="I109" s="1">
        <v>983245</v>
      </c>
      <c r="J109">
        <v>34</v>
      </c>
      <c r="K109">
        <v>26</v>
      </c>
      <c r="L109" t="s">
        <v>24</v>
      </c>
      <c r="M109">
        <f>mlb_payrolls[[#This Row],[Wins]] + mlb_payrolls[[#This Row],[Losses]]</f>
        <v>60</v>
      </c>
      <c r="N109" s="2">
        <f>IF(mlb_payrolls[[#This Row],[Games]] &gt;0, mlb_payrolls[[#This Row],[Wins]]/mlb_payrolls[[#This Row],[Games]], "")</f>
        <v>0.56666666666666665</v>
      </c>
      <c r="O109" s="1">
        <f>IFERROR(VALUE(mlb_payrolls[[#This Row],[Total Payroll Allocations]])/VALUE(mlb_payrolls[[#This Row],[Wins]]),"")</f>
        <v>2529789.3529411764</v>
      </c>
      <c r="P109" s="1">
        <f>SUM(mlb_payrolls[[#This Row],[Active 26-Man]],mlb_payrolls[[#This Row],[Injured]],mlb_payrolls[[#This Row],[Retained]],mlb_payrolls[[#This Row],[Buried]])</f>
        <v>86012838</v>
      </c>
      <c r="Q109" s="1">
        <f>mlb_payrolls[[#This Row],[Total Payroll Allocations]]-mlb_payrolls[[#This Row],[Payroll Parts Sum]]</f>
        <v>0</v>
      </c>
      <c r="R109" s="2">
        <f>IF(mlb_payrolls[[#This Row],[Total Payroll Allocations]]&gt;0, mlb_payrolls[[#This Row],[Active 26-Man]]/mlb_payrolls[[#This Row],[Total Payroll Allocations]],"")</f>
        <v>0.76868181003398584</v>
      </c>
      <c r="S109" s="2">
        <f>IF(mlb_payrolls[[#This Row],[Total Payroll Allocations]]&gt;0,mlb_payrolls[[#This Row],[Injured]]/mlb_payrolls[[#This Row],[Total Payroll Allocations]])</f>
        <v>7.4972831381287519E-2</v>
      </c>
      <c r="T109" s="3">
        <f>IF(mlb_payrolls[[#This Row],[Total Payroll Allocations]]&gt;0,mlb_payrolls[[#This Row],[Retained]]/mlb_payrolls[[#This Row],[Total Payroll Allocations]])</f>
        <v>0.14491398365439354</v>
      </c>
      <c r="U109" s="3">
        <f>IF(mlb_payrolls[[#This Row],[Total Payroll Allocations]]&gt;0,mlb_payrolls[[#This Row],[Buried]]/mlb_payrolls[[#This Row],[Total Payroll Allocations]])</f>
        <v>1.1431374930333074E-2</v>
      </c>
      <c r="V109">
        <f>IF(mlb_payrolls[[#This Row],[Postseason]]="No Playoffs",0,1)</f>
        <v>1</v>
      </c>
    </row>
    <row r="110" spans="1:22" x14ac:dyDescent="0.3">
      <c r="A110" t="s">
        <v>29</v>
      </c>
      <c r="B110" t="s">
        <v>30</v>
      </c>
      <c r="C110">
        <v>2016</v>
      </c>
      <c r="D110">
        <v>27</v>
      </c>
      <c r="E110" s="1">
        <v>87226437</v>
      </c>
      <c r="F110" s="1">
        <v>63783665</v>
      </c>
      <c r="G110" s="1">
        <v>11856070</v>
      </c>
      <c r="H110" s="1">
        <v>10862757</v>
      </c>
      <c r="I110" s="1">
        <v>723945</v>
      </c>
      <c r="J110">
        <v>68</v>
      </c>
      <c r="K110">
        <v>94</v>
      </c>
      <c r="L110" t="s">
        <v>14</v>
      </c>
      <c r="M110">
        <f>mlb_payrolls[[#This Row],[Wins]] + mlb_payrolls[[#This Row],[Losses]]</f>
        <v>162</v>
      </c>
      <c r="N110" s="2">
        <f>IF(mlb_payrolls[[#This Row],[Games]] &gt;0, mlb_payrolls[[#This Row],[Wins]]/mlb_payrolls[[#This Row],[Games]], "")</f>
        <v>0.41975308641975306</v>
      </c>
      <c r="O110" s="1">
        <f>IFERROR(VALUE(mlb_payrolls[[#This Row],[Total Payroll Allocations]])/VALUE(mlb_payrolls[[#This Row],[Wins]]),"")</f>
        <v>1282741.7205882352</v>
      </c>
      <c r="P110" s="1">
        <f>SUM(mlb_payrolls[[#This Row],[Active 26-Man]],mlb_payrolls[[#This Row],[Injured]],mlb_payrolls[[#This Row],[Retained]],mlb_payrolls[[#This Row],[Buried]])</f>
        <v>87226437</v>
      </c>
      <c r="Q110" s="1">
        <f>mlb_payrolls[[#This Row],[Total Payroll Allocations]]-mlb_payrolls[[#This Row],[Payroll Parts Sum]]</f>
        <v>0</v>
      </c>
      <c r="R110" s="2">
        <f>IF(mlb_payrolls[[#This Row],[Total Payroll Allocations]]&gt;0, mlb_payrolls[[#This Row],[Active 26-Man]]/mlb_payrolls[[#This Row],[Total Payroll Allocations]],"")</f>
        <v>0.73124235259087789</v>
      </c>
      <c r="S110" s="2">
        <f>IF(mlb_payrolls[[#This Row],[Total Payroll Allocations]]&gt;0,mlb_payrolls[[#This Row],[Injured]]/mlb_payrolls[[#This Row],[Total Payroll Allocations]])</f>
        <v>0.13592289686210615</v>
      </c>
      <c r="T110" s="3">
        <f>IF(mlb_payrolls[[#This Row],[Total Payroll Allocations]]&gt;0,mlb_payrolls[[#This Row],[Retained]]/mlb_payrolls[[#This Row],[Total Payroll Allocations]])</f>
        <v>0.12453514523354886</v>
      </c>
      <c r="U110" s="3">
        <f>IF(mlb_payrolls[[#This Row],[Total Payroll Allocations]]&gt;0,mlb_payrolls[[#This Row],[Buried]]/mlb_payrolls[[#This Row],[Total Payroll Allocations]])</f>
        <v>8.2996053134670629E-3</v>
      </c>
      <c r="V110">
        <f>IF(mlb_payrolls[[#This Row],[Postseason]]="No Playoffs",0,1)</f>
        <v>0</v>
      </c>
    </row>
    <row r="111" spans="1:22" x14ac:dyDescent="0.3">
      <c r="A111" t="s">
        <v>49</v>
      </c>
      <c r="B111" t="s">
        <v>50</v>
      </c>
      <c r="C111">
        <v>2012</v>
      </c>
      <c r="D111">
        <v>27.2</v>
      </c>
      <c r="E111" s="1">
        <v>87232529</v>
      </c>
      <c r="F111" s="1">
        <v>76398104</v>
      </c>
      <c r="G111" s="1">
        <v>0</v>
      </c>
      <c r="H111" s="1">
        <v>10834425</v>
      </c>
      <c r="I111" s="1">
        <v>0</v>
      </c>
      <c r="J111">
        <v>64</v>
      </c>
      <c r="K111">
        <v>98</v>
      </c>
      <c r="L111" t="s">
        <v>14</v>
      </c>
      <c r="M111">
        <f>mlb_payrolls[[#This Row],[Wins]] + mlb_payrolls[[#This Row],[Losses]]</f>
        <v>162</v>
      </c>
      <c r="N111" s="2">
        <f>IF(mlb_payrolls[[#This Row],[Games]] &gt;0, mlb_payrolls[[#This Row],[Wins]]/mlb_payrolls[[#This Row],[Games]], "")</f>
        <v>0.39506172839506171</v>
      </c>
      <c r="O111" s="1">
        <f>IFERROR(VALUE(mlb_payrolls[[#This Row],[Total Payroll Allocations]])/VALUE(mlb_payrolls[[#This Row],[Wins]]),"")</f>
        <v>1363008.265625</v>
      </c>
      <c r="P111" s="1">
        <f>SUM(mlb_payrolls[[#This Row],[Active 26-Man]],mlb_payrolls[[#This Row],[Injured]],mlb_payrolls[[#This Row],[Retained]],mlb_payrolls[[#This Row],[Buried]])</f>
        <v>87232529</v>
      </c>
      <c r="Q111" s="1">
        <f>mlb_payrolls[[#This Row],[Total Payroll Allocations]]-mlb_payrolls[[#This Row],[Payroll Parts Sum]]</f>
        <v>0</v>
      </c>
      <c r="R111" s="2">
        <f>IF(mlb_payrolls[[#This Row],[Total Payroll Allocations]]&gt;0, mlb_payrolls[[#This Row],[Active 26-Man]]/mlb_payrolls[[#This Row],[Total Payroll Allocations]],"")</f>
        <v>0.87579833894303349</v>
      </c>
      <c r="S111" s="2">
        <f>IF(mlb_payrolls[[#This Row],[Total Payroll Allocations]]&gt;0,mlb_payrolls[[#This Row],[Injured]]/mlb_payrolls[[#This Row],[Total Payroll Allocations]])</f>
        <v>0</v>
      </c>
      <c r="T111" s="3">
        <f>IF(mlb_payrolls[[#This Row],[Total Payroll Allocations]]&gt;0,mlb_payrolls[[#This Row],[Retained]]/mlb_payrolls[[#This Row],[Total Payroll Allocations]])</f>
        <v>0.12420166105696649</v>
      </c>
      <c r="U111" s="3">
        <f>IF(mlb_payrolls[[#This Row],[Total Payroll Allocations]]&gt;0,mlb_payrolls[[#This Row],[Buried]]/mlb_payrolls[[#This Row],[Total Payroll Allocations]])</f>
        <v>0</v>
      </c>
      <c r="V111">
        <f>IF(mlb_payrolls[[#This Row],[Postseason]]="No Playoffs",0,1)</f>
        <v>0</v>
      </c>
    </row>
    <row r="112" spans="1:22" x14ac:dyDescent="0.3">
      <c r="A112" t="s">
        <v>37</v>
      </c>
      <c r="B112" t="s">
        <v>38</v>
      </c>
      <c r="C112">
        <v>2014</v>
      </c>
      <c r="D112">
        <v>27</v>
      </c>
      <c r="E112" s="1">
        <v>87494478</v>
      </c>
      <c r="F112" s="1">
        <v>72140448</v>
      </c>
      <c r="G112" s="1">
        <v>0</v>
      </c>
      <c r="H112" s="1">
        <v>15337637</v>
      </c>
      <c r="I112" s="1">
        <v>16393</v>
      </c>
      <c r="J112">
        <v>70</v>
      </c>
      <c r="K112">
        <v>92</v>
      </c>
      <c r="L112" t="s">
        <v>14</v>
      </c>
      <c r="M112">
        <f>mlb_payrolls[[#This Row],[Wins]] + mlb_payrolls[[#This Row],[Losses]]</f>
        <v>162</v>
      </c>
      <c r="N112" s="2">
        <f>IF(mlb_payrolls[[#This Row],[Games]] &gt;0, mlb_payrolls[[#This Row],[Wins]]/mlb_payrolls[[#This Row],[Games]], "")</f>
        <v>0.43209876543209874</v>
      </c>
      <c r="O112" s="1">
        <f>IFERROR(VALUE(mlb_payrolls[[#This Row],[Total Payroll Allocations]])/VALUE(mlb_payrolls[[#This Row],[Wins]]),"")</f>
        <v>1249921.1142857142</v>
      </c>
      <c r="P112" s="1">
        <f>SUM(mlb_payrolls[[#This Row],[Active 26-Man]],mlb_payrolls[[#This Row],[Injured]],mlb_payrolls[[#This Row],[Retained]],mlb_payrolls[[#This Row],[Buried]])</f>
        <v>87494478</v>
      </c>
      <c r="Q112" s="1">
        <f>mlb_payrolls[[#This Row],[Total Payroll Allocations]]-mlb_payrolls[[#This Row],[Payroll Parts Sum]]</f>
        <v>0</v>
      </c>
      <c r="R112" s="2">
        <f>IF(mlb_payrolls[[#This Row],[Total Payroll Allocations]]&gt;0, mlb_payrolls[[#This Row],[Active 26-Man]]/mlb_payrolls[[#This Row],[Total Payroll Allocations]],"")</f>
        <v>0.82451429677653487</v>
      </c>
      <c r="S112" s="2">
        <f>IF(mlb_payrolls[[#This Row],[Total Payroll Allocations]]&gt;0,mlb_payrolls[[#This Row],[Injured]]/mlb_payrolls[[#This Row],[Total Payroll Allocations]])</f>
        <v>0</v>
      </c>
      <c r="T112" s="3">
        <f>IF(mlb_payrolls[[#This Row],[Total Payroll Allocations]]&gt;0,mlb_payrolls[[#This Row],[Retained]]/mlb_payrolls[[#This Row],[Total Payroll Allocations]])</f>
        <v>0.17529834282798967</v>
      </c>
      <c r="U112" s="3">
        <f>IF(mlb_payrolls[[#This Row],[Total Payroll Allocations]]&gt;0,mlb_payrolls[[#This Row],[Buried]]/mlb_payrolls[[#This Row],[Total Payroll Allocations]])</f>
        <v>1.8736039547547219E-4</v>
      </c>
      <c r="V112">
        <f>IF(mlb_payrolls[[#This Row],[Postseason]]="No Playoffs",0,1)</f>
        <v>0</v>
      </c>
    </row>
    <row r="113" spans="1:22" x14ac:dyDescent="0.3">
      <c r="A113" t="s">
        <v>27</v>
      </c>
      <c r="B113" t="s">
        <v>28</v>
      </c>
      <c r="C113">
        <v>2013</v>
      </c>
      <c r="D113">
        <v>27.5</v>
      </c>
      <c r="E113" s="1">
        <v>88221045</v>
      </c>
      <c r="F113" s="1">
        <v>70615690</v>
      </c>
      <c r="G113" s="1">
        <v>0</v>
      </c>
      <c r="H113" s="1">
        <v>7818853</v>
      </c>
      <c r="I113" s="1">
        <v>286502</v>
      </c>
      <c r="J113">
        <v>74</v>
      </c>
      <c r="K113">
        <v>88</v>
      </c>
      <c r="L113" t="s">
        <v>14</v>
      </c>
      <c r="M113">
        <f>mlb_payrolls[[#This Row],[Wins]] + mlb_payrolls[[#This Row],[Losses]]</f>
        <v>162</v>
      </c>
      <c r="N113" s="2">
        <f>IF(mlb_payrolls[[#This Row],[Games]] &gt;0, mlb_payrolls[[#This Row],[Wins]]/mlb_payrolls[[#This Row],[Games]], "")</f>
        <v>0.4567901234567901</v>
      </c>
      <c r="O113" s="1">
        <f>IFERROR(VALUE(mlb_payrolls[[#This Row],[Total Payroll Allocations]])/VALUE(mlb_payrolls[[#This Row],[Wins]]),"")</f>
        <v>1192176.2837837837</v>
      </c>
      <c r="P113" s="1">
        <f>SUM(mlb_payrolls[[#This Row],[Active 26-Man]],mlb_payrolls[[#This Row],[Injured]],mlb_payrolls[[#This Row],[Retained]],mlb_payrolls[[#This Row],[Buried]])</f>
        <v>78721045</v>
      </c>
      <c r="Q113" s="1">
        <f>mlb_payrolls[[#This Row],[Total Payroll Allocations]]-mlb_payrolls[[#This Row],[Payroll Parts Sum]]</f>
        <v>9500000</v>
      </c>
      <c r="R113" s="2">
        <f>IF(mlb_payrolls[[#This Row],[Total Payroll Allocations]]&gt;0, mlb_payrolls[[#This Row],[Active 26-Man]]/mlb_payrolls[[#This Row],[Total Payroll Allocations]],"")</f>
        <v>0.8004404164561868</v>
      </c>
      <c r="S113" s="2">
        <f>IF(mlb_payrolls[[#This Row],[Total Payroll Allocations]]&gt;0,mlb_payrolls[[#This Row],[Injured]]/mlb_payrolls[[#This Row],[Total Payroll Allocations]])</f>
        <v>0</v>
      </c>
      <c r="T113" s="3">
        <f>IF(mlb_payrolls[[#This Row],[Total Payroll Allocations]]&gt;0,mlb_payrolls[[#This Row],[Retained]]/mlb_payrolls[[#This Row],[Total Payroll Allocations]])</f>
        <v>8.8627979865801856E-2</v>
      </c>
      <c r="U113" s="3">
        <f>IF(mlb_payrolls[[#This Row],[Total Payroll Allocations]]&gt;0,mlb_payrolls[[#This Row],[Buried]]/mlb_payrolls[[#This Row],[Total Payroll Allocations]])</f>
        <v>3.247547113049953E-3</v>
      </c>
      <c r="V113">
        <f>IF(mlb_payrolls[[#This Row],[Postseason]]="No Playoffs",0,1)</f>
        <v>0</v>
      </c>
    </row>
    <row r="114" spans="1:22" x14ac:dyDescent="0.3">
      <c r="A114" t="s">
        <v>43</v>
      </c>
      <c r="B114" t="s">
        <v>44</v>
      </c>
      <c r="C114">
        <v>2013</v>
      </c>
      <c r="D114">
        <v>28.2</v>
      </c>
      <c r="E114" s="1">
        <v>88316478</v>
      </c>
      <c r="F114" s="1">
        <v>78126043</v>
      </c>
      <c r="G114" s="1">
        <v>0</v>
      </c>
      <c r="H114" s="1">
        <v>9916749</v>
      </c>
      <c r="I114" s="1">
        <v>273686</v>
      </c>
      <c r="J114">
        <v>81</v>
      </c>
      <c r="K114">
        <v>81</v>
      </c>
      <c r="L114" t="s">
        <v>14</v>
      </c>
      <c r="M114">
        <f>mlb_payrolls[[#This Row],[Wins]] + mlb_payrolls[[#This Row],[Losses]]</f>
        <v>162</v>
      </c>
      <c r="N114" s="2">
        <f>IF(mlb_payrolls[[#This Row],[Games]] &gt;0, mlb_payrolls[[#This Row],[Wins]]/mlb_payrolls[[#This Row],[Games]], "")</f>
        <v>0.5</v>
      </c>
      <c r="O114" s="1">
        <f>IFERROR(VALUE(mlb_payrolls[[#This Row],[Total Payroll Allocations]])/VALUE(mlb_payrolls[[#This Row],[Wins]]),"")</f>
        <v>1090326.888888889</v>
      </c>
      <c r="P114" s="1">
        <f>SUM(mlb_payrolls[[#This Row],[Active 26-Man]],mlb_payrolls[[#This Row],[Injured]],mlb_payrolls[[#This Row],[Retained]],mlb_payrolls[[#This Row],[Buried]])</f>
        <v>88316478</v>
      </c>
      <c r="Q114" s="1">
        <f>mlb_payrolls[[#This Row],[Total Payroll Allocations]]-mlb_payrolls[[#This Row],[Payroll Parts Sum]]</f>
        <v>0</v>
      </c>
      <c r="R114" s="2">
        <f>IF(mlb_payrolls[[#This Row],[Total Payroll Allocations]]&gt;0, mlb_payrolls[[#This Row],[Active 26-Man]]/mlb_payrolls[[#This Row],[Total Payroll Allocations]],"")</f>
        <v>0.884614567623496</v>
      </c>
      <c r="S114" s="2">
        <f>IF(mlb_payrolls[[#This Row],[Total Payroll Allocations]]&gt;0,mlb_payrolls[[#This Row],[Injured]]/mlb_payrolls[[#This Row],[Total Payroll Allocations]])</f>
        <v>0</v>
      </c>
      <c r="T114" s="3">
        <f>IF(mlb_payrolls[[#This Row],[Total Payroll Allocations]]&gt;0,mlb_payrolls[[#This Row],[Retained]]/mlb_payrolls[[#This Row],[Total Payroll Allocations]])</f>
        <v>0.11228650897967195</v>
      </c>
      <c r="U114" s="3">
        <f>IF(mlb_payrolls[[#This Row],[Total Payroll Allocations]]&gt;0,mlb_payrolls[[#This Row],[Buried]]/mlb_payrolls[[#This Row],[Total Payroll Allocations]])</f>
        <v>3.098923396832016E-3</v>
      </c>
      <c r="V114">
        <f>IF(mlb_payrolls[[#This Row],[Postseason]]="No Playoffs",0,1)</f>
        <v>0</v>
      </c>
    </row>
    <row r="115" spans="1:22" x14ac:dyDescent="0.3">
      <c r="A115" t="s">
        <v>35</v>
      </c>
      <c r="B115" t="s">
        <v>36</v>
      </c>
      <c r="C115">
        <v>2022</v>
      </c>
      <c r="D115">
        <v>27.6</v>
      </c>
      <c r="E115" s="1">
        <v>88454422</v>
      </c>
      <c r="F115" s="1">
        <v>50291980</v>
      </c>
      <c r="G115" s="1">
        <v>20999362</v>
      </c>
      <c r="H115" s="1">
        <v>10674607</v>
      </c>
      <c r="I115" s="1">
        <v>1938473</v>
      </c>
      <c r="J115">
        <v>69</v>
      </c>
      <c r="K115">
        <v>93</v>
      </c>
      <c r="L115" t="s">
        <v>14</v>
      </c>
      <c r="M115">
        <f>mlb_payrolls[[#This Row],[Wins]] + mlb_payrolls[[#This Row],[Losses]]</f>
        <v>162</v>
      </c>
      <c r="N115" s="2">
        <f>IF(mlb_payrolls[[#This Row],[Games]] &gt;0, mlb_payrolls[[#This Row],[Wins]]/mlb_payrolls[[#This Row],[Games]], "")</f>
        <v>0.42592592592592593</v>
      </c>
      <c r="O115" s="1">
        <f>IFERROR(VALUE(mlb_payrolls[[#This Row],[Total Payroll Allocations]])/VALUE(mlb_payrolls[[#This Row],[Wins]]),"")</f>
        <v>1281948.1449275361</v>
      </c>
      <c r="P115" s="1">
        <f>SUM(mlb_payrolls[[#This Row],[Active 26-Man]],mlb_payrolls[[#This Row],[Injured]],mlb_payrolls[[#This Row],[Retained]],mlb_payrolls[[#This Row],[Buried]])</f>
        <v>83904422</v>
      </c>
      <c r="Q115" s="1">
        <f>mlb_payrolls[[#This Row],[Total Payroll Allocations]]-mlb_payrolls[[#This Row],[Payroll Parts Sum]]</f>
        <v>4550000</v>
      </c>
      <c r="R115" s="2">
        <f>IF(mlb_payrolls[[#This Row],[Total Payroll Allocations]]&gt;0, mlb_payrolls[[#This Row],[Active 26-Man]]/mlb_payrolls[[#This Row],[Total Payroll Allocations]],"")</f>
        <v>0.5685637740078161</v>
      </c>
      <c r="S115" s="2">
        <f>IF(mlb_payrolls[[#This Row],[Total Payroll Allocations]]&gt;0,mlb_payrolls[[#This Row],[Injured]]/mlb_payrolls[[#This Row],[Total Payroll Allocations]])</f>
        <v>0.23740319053806039</v>
      </c>
      <c r="T115" s="3">
        <f>IF(mlb_payrolls[[#This Row],[Total Payroll Allocations]]&gt;0,mlb_payrolls[[#This Row],[Retained]]/mlb_payrolls[[#This Row],[Total Payroll Allocations]])</f>
        <v>0.12067917870742516</v>
      </c>
      <c r="U115" s="3">
        <f>IF(mlb_payrolls[[#This Row],[Total Payroll Allocations]]&gt;0,mlb_payrolls[[#This Row],[Buried]]/mlb_payrolls[[#This Row],[Total Payroll Allocations]])</f>
        <v>2.1914936033384517E-2</v>
      </c>
      <c r="V115">
        <f>IF(mlb_payrolls[[#This Row],[Postseason]]="No Playoffs",0,1)</f>
        <v>0</v>
      </c>
    </row>
    <row r="116" spans="1:22" x14ac:dyDescent="0.3">
      <c r="A116" t="s">
        <v>22</v>
      </c>
      <c r="B116" t="s">
        <v>23</v>
      </c>
      <c r="C116">
        <v>2023</v>
      </c>
      <c r="D116">
        <v>26.3</v>
      </c>
      <c r="E116" s="1">
        <v>88911627</v>
      </c>
      <c r="F116" s="1">
        <v>54881912</v>
      </c>
      <c r="G116" s="1">
        <v>1881400</v>
      </c>
      <c r="H116" s="1">
        <v>30397406</v>
      </c>
      <c r="I116" s="1">
        <v>1158646</v>
      </c>
      <c r="J116">
        <v>76</v>
      </c>
      <c r="K116">
        <v>86</v>
      </c>
      <c r="L116" t="s">
        <v>14</v>
      </c>
      <c r="M116">
        <f>mlb_payrolls[[#This Row],[Wins]] + mlb_payrolls[[#This Row],[Losses]]</f>
        <v>162</v>
      </c>
      <c r="N116" s="2">
        <f>IF(mlb_payrolls[[#This Row],[Games]] &gt;0, mlb_payrolls[[#This Row],[Wins]]/mlb_payrolls[[#This Row],[Games]], "")</f>
        <v>0.46913580246913578</v>
      </c>
      <c r="O116" s="1">
        <f>IFERROR(VALUE(mlb_payrolls[[#This Row],[Total Payroll Allocations]])/VALUE(mlb_payrolls[[#This Row],[Wins]]),"")</f>
        <v>1169889.8289473683</v>
      </c>
      <c r="P116" s="1">
        <f>SUM(mlb_payrolls[[#This Row],[Active 26-Man]],mlb_payrolls[[#This Row],[Injured]],mlb_payrolls[[#This Row],[Retained]],mlb_payrolls[[#This Row],[Buried]])</f>
        <v>88319364</v>
      </c>
      <c r="Q116" s="1">
        <f>mlb_payrolls[[#This Row],[Total Payroll Allocations]]-mlb_payrolls[[#This Row],[Payroll Parts Sum]]</f>
        <v>592263</v>
      </c>
      <c r="R116" s="2">
        <f>IF(mlb_payrolls[[#This Row],[Total Payroll Allocations]]&gt;0, mlb_payrolls[[#This Row],[Active 26-Man]]/mlb_payrolls[[#This Row],[Total Payroll Allocations]],"")</f>
        <v>0.61726361165340049</v>
      </c>
      <c r="S116" s="2">
        <f>IF(mlb_payrolls[[#This Row],[Total Payroll Allocations]]&gt;0,mlb_payrolls[[#This Row],[Injured]]/mlb_payrolls[[#This Row],[Total Payroll Allocations]])</f>
        <v>2.1160337106416915E-2</v>
      </c>
      <c r="T116" s="3">
        <f>IF(mlb_payrolls[[#This Row],[Total Payroll Allocations]]&gt;0,mlb_payrolls[[#This Row],[Retained]]/mlb_payrolls[[#This Row],[Total Payroll Allocations]])</f>
        <v>0.34188336245382173</v>
      </c>
      <c r="U116" s="3">
        <f>IF(mlb_payrolls[[#This Row],[Total Payroll Allocations]]&gt;0,mlb_payrolls[[#This Row],[Buried]]/mlb_payrolls[[#This Row],[Total Payroll Allocations]])</f>
        <v>1.3031434010312284E-2</v>
      </c>
      <c r="V116">
        <f>IF(mlb_payrolls[[#This Row],[Postseason]]="No Playoffs",0,1)</f>
        <v>0</v>
      </c>
    </row>
    <row r="117" spans="1:22" x14ac:dyDescent="0.3">
      <c r="A117" t="s">
        <v>69</v>
      </c>
      <c r="B117" t="s">
        <v>70</v>
      </c>
      <c r="C117">
        <v>2014</v>
      </c>
      <c r="D117">
        <v>26.9</v>
      </c>
      <c r="E117" s="1">
        <v>89297302</v>
      </c>
      <c r="F117" s="1">
        <v>60305897</v>
      </c>
      <c r="G117" s="1">
        <v>0</v>
      </c>
      <c r="H117" s="1">
        <v>28411749</v>
      </c>
      <c r="I117" s="1">
        <v>579656</v>
      </c>
      <c r="J117">
        <v>73</v>
      </c>
      <c r="K117">
        <v>89</v>
      </c>
      <c r="L117" t="s">
        <v>14</v>
      </c>
      <c r="M117">
        <f>mlb_payrolls[[#This Row],[Wins]] + mlb_payrolls[[#This Row],[Losses]]</f>
        <v>162</v>
      </c>
      <c r="N117" s="2">
        <f>IF(mlb_payrolls[[#This Row],[Games]] &gt;0, mlb_payrolls[[#This Row],[Wins]]/mlb_payrolls[[#This Row],[Games]], "")</f>
        <v>0.45061728395061729</v>
      </c>
      <c r="O117" s="1">
        <f>IFERROR(VALUE(mlb_payrolls[[#This Row],[Total Payroll Allocations]])/VALUE(mlb_payrolls[[#This Row],[Wins]]),"")</f>
        <v>1223250.7123287672</v>
      </c>
      <c r="P117" s="1">
        <f>SUM(mlb_payrolls[[#This Row],[Active 26-Man]],mlb_payrolls[[#This Row],[Injured]],mlb_payrolls[[#This Row],[Retained]],mlb_payrolls[[#This Row],[Buried]])</f>
        <v>89297302</v>
      </c>
      <c r="Q117" s="1">
        <f>mlb_payrolls[[#This Row],[Total Payroll Allocations]]-mlb_payrolls[[#This Row],[Payroll Parts Sum]]</f>
        <v>0</v>
      </c>
      <c r="R117" s="2">
        <f>IF(mlb_payrolls[[#This Row],[Total Payroll Allocations]]&gt;0, mlb_payrolls[[#This Row],[Active 26-Man]]/mlb_payrolls[[#This Row],[Total Payroll Allocations]],"")</f>
        <v>0.67533839936171869</v>
      </c>
      <c r="S117" s="2">
        <f>IF(mlb_payrolls[[#This Row],[Total Payroll Allocations]]&gt;0,mlb_payrolls[[#This Row],[Injured]]/mlb_payrolls[[#This Row],[Total Payroll Allocations]])</f>
        <v>0</v>
      </c>
      <c r="T117" s="3">
        <f>IF(mlb_payrolls[[#This Row],[Total Payroll Allocations]]&gt;0,mlb_payrolls[[#This Row],[Retained]]/mlb_payrolls[[#This Row],[Total Payroll Allocations]])</f>
        <v>0.31817029589538998</v>
      </c>
      <c r="U117" s="3">
        <f>IF(mlb_payrolls[[#This Row],[Total Payroll Allocations]]&gt;0,mlb_payrolls[[#This Row],[Buried]]/mlb_payrolls[[#This Row],[Total Payroll Allocations]])</f>
        <v>6.4913047428913359E-3</v>
      </c>
      <c r="V117">
        <f>IF(mlb_payrolls[[#This Row],[Postseason]]="No Playoffs",0,1)</f>
        <v>0</v>
      </c>
    </row>
    <row r="118" spans="1:22" x14ac:dyDescent="0.3">
      <c r="A118" t="s">
        <v>17</v>
      </c>
      <c r="B118" t="s">
        <v>18</v>
      </c>
      <c r="C118">
        <v>2024</v>
      </c>
      <c r="D118">
        <v>26.8</v>
      </c>
      <c r="E118" s="1">
        <v>89707422</v>
      </c>
      <c r="F118" s="1">
        <v>37691876</v>
      </c>
      <c r="G118" s="1">
        <v>13179262</v>
      </c>
      <c r="H118" s="1">
        <v>34675167</v>
      </c>
      <c r="I118" s="1">
        <v>1706572</v>
      </c>
      <c r="J118">
        <v>80</v>
      </c>
      <c r="K118">
        <v>82</v>
      </c>
      <c r="L118" t="s">
        <v>14</v>
      </c>
      <c r="M118">
        <f>mlb_payrolls[[#This Row],[Wins]] + mlb_payrolls[[#This Row],[Losses]]</f>
        <v>162</v>
      </c>
      <c r="N118" s="2">
        <f>IF(mlb_payrolls[[#This Row],[Games]] &gt;0, mlb_payrolls[[#This Row],[Wins]]/mlb_payrolls[[#This Row],[Games]], "")</f>
        <v>0.49382716049382713</v>
      </c>
      <c r="O118" s="1">
        <f>IFERROR(VALUE(mlb_payrolls[[#This Row],[Total Payroll Allocations]])/VALUE(mlb_payrolls[[#This Row],[Wins]]),"")</f>
        <v>1121342.7749999999</v>
      </c>
      <c r="P118" s="1">
        <f>SUM(mlb_payrolls[[#This Row],[Active 26-Man]],mlb_payrolls[[#This Row],[Injured]],mlb_payrolls[[#This Row],[Retained]],mlb_payrolls[[#This Row],[Buried]])</f>
        <v>87252877</v>
      </c>
      <c r="Q118" s="1">
        <f>mlb_payrolls[[#This Row],[Total Payroll Allocations]]-mlb_payrolls[[#This Row],[Payroll Parts Sum]]</f>
        <v>2454545</v>
      </c>
      <c r="R118" s="2">
        <f>IF(mlb_payrolls[[#This Row],[Total Payroll Allocations]]&gt;0, mlb_payrolls[[#This Row],[Active 26-Man]]/mlb_payrolls[[#This Row],[Total Payroll Allocations]],"")</f>
        <v>0.42016452105824642</v>
      </c>
      <c r="S118" s="2">
        <f>IF(mlb_payrolls[[#This Row],[Total Payroll Allocations]]&gt;0,mlb_payrolls[[#This Row],[Injured]]/mlb_payrolls[[#This Row],[Total Payroll Allocations]])</f>
        <v>0.14691384175547928</v>
      </c>
      <c r="T118" s="3">
        <f>IF(mlb_payrolls[[#This Row],[Total Payroll Allocations]]&gt;0,mlb_payrolls[[#This Row],[Retained]]/mlb_payrolls[[#This Row],[Total Payroll Allocations]])</f>
        <v>0.38653621101718877</v>
      </c>
      <c r="U118" s="3">
        <f>IF(mlb_payrolls[[#This Row],[Total Payroll Allocations]]&gt;0,mlb_payrolls[[#This Row],[Buried]]/mlb_payrolls[[#This Row],[Total Payroll Allocations]])</f>
        <v>1.902375480147005E-2</v>
      </c>
      <c r="V118">
        <f>IF(mlb_payrolls[[#This Row],[Postseason]]="No Playoffs",0,1)</f>
        <v>0</v>
      </c>
    </row>
    <row r="119" spans="1:22" x14ac:dyDescent="0.3">
      <c r="A119" t="s">
        <v>12</v>
      </c>
      <c r="B119" t="s">
        <v>13</v>
      </c>
      <c r="C119">
        <v>2021</v>
      </c>
      <c r="D119">
        <v>30</v>
      </c>
      <c r="E119" s="1">
        <v>89767668</v>
      </c>
      <c r="F119" s="1">
        <v>51210210</v>
      </c>
      <c r="G119" s="1">
        <v>34397095</v>
      </c>
      <c r="H119" s="1">
        <v>2500111</v>
      </c>
      <c r="I119" s="1">
        <v>1079752</v>
      </c>
      <c r="J119">
        <v>86</v>
      </c>
      <c r="K119">
        <v>76</v>
      </c>
      <c r="L119" t="s">
        <v>14</v>
      </c>
      <c r="M119">
        <f>mlb_payrolls[[#This Row],[Wins]] + mlb_payrolls[[#This Row],[Losses]]</f>
        <v>162</v>
      </c>
      <c r="N119" s="2">
        <f>IF(mlb_payrolls[[#This Row],[Games]] &gt;0, mlb_payrolls[[#This Row],[Wins]]/mlb_payrolls[[#This Row],[Games]], "")</f>
        <v>0.53086419753086422</v>
      </c>
      <c r="O119" s="1">
        <f>IFERROR(VALUE(mlb_payrolls[[#This Row],[Total Payroll Allocations]])/VALUE(mlb_payrolls[[#This Row],[Wins]]),"")</f>
        <v>1043810.0930232558</v>
      </c>
      <c r="P119" s="1">
        <f>SUM(mlb_payrolls[[#This Row],[Active 26-Man]],mlb_payrolls[[#This Row],[Injured]],mlb_payrolls[[#This Row],[Retained]],mlb_payrolls[[#This Row],[Buried]])</f>
        <v>89187168</v>
      </c>
      <c r="Q119" s="1">
        <f>mlb_payrolls[[#This Row],[Total Payroll Allocations]]-mlb_payrolls[[#This Row],[Payroll Parts Sum]]</f>
        <v>580500</v>
      </c>
      <c r="R119" s="2">
        <f>IF(mlb_payrolls[[#This Row],[Total Payroll Allocations]]&gt;0, mlb_payrolls[[#This Row],[Active 26-Man]]/mlb_payrolls[[#This Row],[Total Payroll Allocations]],"")</f>
        <v>0.57047499551843095</v>
      </c>
      <c r="S119" s="2">
        <f>IF(mlb_payrolls[[#This Row],[Total Payroll Allocations]]&gt;0,mlb_payrolls[[#This Row],[Injured]]/mlb_payrolls[[#This Row],[Total Payroll Allocations]])</f>
        <v>0.3831791085405048</v>
      </c>
      <c r="T119" s="3">
        <f>IF(mlb_payrolls[[#This Row],[Total Payroll Allocations]]&gt;0,mlb_payrolls[[#This Row],[Retained]]/mlb_payrolls[[#This Row],[Total Payroll Allocations]])</f>
        <v>2.7850907299942336E-2</v>
      </c>
      <c r="U119" s="3">
        <f>IF(mlb_payrolls[[#This Row],[Total Payroll Allocations]]&gt;0,mlb_payrolls[[#This Row],[Buried]]/mlb_payrolls[[#This Row],[Total Payroll Allocations]])</f>
        <v>1.202829508726906E-2</v>
      </c>
      <c r="V119">
        <f>IF(mlb_payrolls[[#This Row],[Postseason]]="No Playoffs",0,1)</f>
        <v>0</v>
      </c>
    </row>
    <row r="120" spans="1:22" x14ac:dyDescent="0.3">
      <c r="A120" t="s">
        <v>29</v>
      </c>
      <c r="B120" t="s">
        <v>30</v>
      </c>
      <c r="C120">
        <v>2012</v>
      </c>
      <c r="D120">
        <v>27.8</v>
      </c>
      <c r="E120" s="1">
        <v>89901498</v>
      </c>
      <c r="F120" s="1">
        <v>89101498</v>
      </c>
      <c r="G120" s="1">
        <v>0</v>
      </c>
      <c r="H120" s="1">
        <v>0</v>
      </c>
      <c r="I120" s="1">
        <v>800000</v>
      </c>
      <c r="J120">
        <v>97</v>
      </c>
      <c r="K120">
        <v>65</v>
      </c>
      <c r="L120" t="s">
        <v>24</v>
      </c>
      <c r="M120">
        <f>mlb_payrolls[[#This Row],[Wins]] + mlb_payrolls[[#This Row],[Losses]]</f>
        <v>162</v>
      </c>
      <c r="N120" s="2">
        <f>IF(mlb_payrolls[[#This Row],[Games]] &gt;0, mlb_payrolls[[#This Row],[Wins]]/mlb_payrolls[[#This Row],[Games]], "")</f>
        <v>0.59876543209876543</v>
      </c>
      <c r="O120" s="1">
        <f>IFERROR(VALUE(mlb_payrolls[[#This Row],[Total Payroll Allocations]])/VALUE(mlb_payrolls[[#This Row],[Wins]]),"")</f>
        <v>926819.56701030931</v>
      </c>
      <c r="P120" s="1">
        <f>SUM(mlb_payrolls[[#This Row],[Active 26-Man]],mlb_payrolls[[#This Row],[Injured]],mlb_payrolls[[#This Row],[Retained]],mlb_payrolls[[#This Row],[Buried]])</f>
        <v>89901498</v>
      </c>
      <c r="Q120" s="1">
        <f>mlb_payrolls[[#This Row],[Total Payroll Allocations]]-mlb_payrolls[[#This Row],[Payroll Parts Sum]]</f>
        <v>0</v>
      </c>
      <c r="R120" s="2">
        <f>IF(mlb_payrolls[[#This Row],[Total Payroll Allocations]]&gt;0, mlb_payrolls[[#This Row],[Active 26-Man]]/mlb_payrolls[[#This Row],[Total Payroll Allocations]],"")</f>
        <v>0.99110137185923197</v>
      </c>
      <c r="S120" s="2">
        <f>IF(mlb_payrolls[[#This Row],[Total Payroll Allocations]]&gt;0,mlb_payrolls[[#This Row],[Injured]]/mlb_payrolls[[#This Row],[Total Payroll Allocations]])</f>
        <v>0</v>
      </c>
      <c r="T120" s="3">
        <f>IF(mlb_payrolls[[#This Row],[Total Payroll Allocations]]&gt;0,mlb_payrolls[[#This Row],[Retained]]/mlb_payrolls[[#This Row],[Total Payroll Allocations]])</f>
        <v>0</v>
      </c>
      <c r="U120" s="3">
        <f>IF(mlb_payrolls[[#This Row],[Total Payroll Allocations]]&gt;0,mlb_payrolls[[#This Row],[Buried]]/mlb_payrolls[[#This Row],[Total Payroll Allocations]])</f>
        <v>8.8986281407680209E-3</v>
      </c>
      <c r="V120">
        <f>IF(mlb_payrolls[[#This Row],[Postseason]]="No Playoffs",0,1)</f>
        <v>1</v>
      </c>
    </row>
    <row r="121" spans="1:22" x14ac:dyDescent="0.3">
      <c r="A121" t="s">
        <v>61</v>
      </c>
      <c r="B121" t="s">
        <v>62</v>
      </c>
      <c r="C121">
        <v>2014</v>
      </c>
      <c r="D121">
        <v>26.7</v>
      </c>
      <c r="E121" s="1">
        <v>90364741</v>
      </c>
      <c r="F121" s="1">
        <v>54429470</v>
      </c>
      <c r="G121" s="1">
        <v>0</v>
      </c>
      <c r="H121" s="1">
        <v>34683034</v>
      </c>
      <c r="I121" s="1">
        <v>1252237</v>
      </c>
      <c r="J121">
        <v>73</v>
      </c>
      <c r="K121">
        <v>89</v>
      </c>
      <c r="L121" t="s">
        <v>14</v>
      </c>
      <c r="M121">
        <f>mlb_payrolls[[#This Row],[Wins]] + mlb_payrolls[[#This Row],[Losses]]</f>
        <v>162</v>
      </c>
      <c r="N121" s="2">
        <f>IF(mlb_payrolls[[#This Row],[Games]] &gt;0, mlb_payrolls[[#This Row],[Wins]]/mlb_payrolls[[#This Row],[Games]], "")</f>
        <v>0.45061728395061729</v>
      </c>
      <c r="O121" s="1">
        <f>IFERROR(VALUE(mlb_payrolls[[#This Row],[Total Payroll Allocations]])/VALUE(mlb_payrolls[[#This Row],[Wins]]),"")</f>
        <v>1237873.1643835616</v>
      </c>
      <c r="P121" s="1">
        <f>SUM(mlb_payrolls[[#This Row],[Active 26-Man]],mlb_payrolls[[#This Row],[Injured]],mlb_payrolls[[#This Row],[Retained]],mlb_payrolls[[#This Row],[Buried]])</f>
        <v>90364741</v>
      </c>
      <c r="Q121" s="1">
        <f>mlb_payrolls[[#This Row],[Total Payroll Allocations]]-mlb_payrolls[[#This Row],[Payroll Parts Sum]]</f>
        <v>0</v>
      </c>
      <c r="R121" s="2">
        <f>IF(mlb_payrolls[[#This Row],[Total Payroll Allocations]]&gt;0, mlb_payrolls[[#This Row],[Active 26-Man]]/mlb_payrolls[[#This Row],[Total Payroll Allocations]],"")</f>
        <v>0.60233083609457805</v>
      </c>
      <c r="S121" s="2">
        <f>IF(mlb_payrolls[[#This Row],[Total Payroll Allocations]]&gt;0,mlb_payrolls[[#This Row],[Injured]]/mlb_payrolls[[#This Row],[Total Payroll Allocations]])</f>
        <v>0</v>
      </c>
      <c r="T121" s="3">
        <f>IF(mlb_payrolls[[#This Row],[Total Payroll Allocations]]&gt;0,mlb_payrolls[[#This Row],[Retained]]/mlb_payrolls[[#This Row],[Total Payroll Allocations]])</f>
        <v>0.38381157978419922</v>
      </c>
      <c r="U121" s="3">
        <f>IF(mlb_payrolls[[#This Row],[Total Payroll Allocations]]&gt;0,mlb_payrolls[[#This Row],[Buried]]/mlb_payrolls[[#This Row],[Total Payroll Allocations]])</f>
        <v>1.3857584121222679E-2</v>
      </c>
      <c r="V121">
        <f>IF(mlb_payrolls[[#This Row],[Postseason]]="No Playoffs",0,1)</f>
        <v>0</v>
      </c>
    </row>
    <row r="122" spans="1:22" x14ac:dyDescent="0.3">
      <c r="A122" t="s">
        <v>15</v>
      </c>
      <c r="B122" t="s">
        <v>16</v>
      </c>
      <c r="C122">
        <v>2018</v>
      </c>
      <c r="D122">
        <v>26.7</v>
      </c>
      <c r="E122" s="1">
        <v>91025861</v>
      </c>
      <c r="F122" s="1">
        <v>67576415</v>
      </c>
      <c r="G122" s="1">
        <v>4670500</v>
      </c>
      <c r="H122" s="1">
        <v>17492114</v>
      </c>
      <c r="I122" s="1">
        <v>1286832</v>
      </c>
      <c r="J122">
        <v>82</v>
      </c>
      <c r="K122">
        <v>79</v>
      </c>
      <c r="L122" t="s">
        <v>14</v>
      </c>
      <c r="M122">
        <f>mlb_payrolls[[#This Row],[Wins]] + mlb_payrolls[[#This Row],[Losses]]</f>
        <v>161</v>
      </c>
      <c r="N122" s="2">
        <f>IF(mlb_payrolls[[#This Row],[Games]] &gt;0, mlb_payrolls[[#This Row],[Wins]]/mlb_payrolls[[#This Row],[Games]], "")</f>
        <v>0.50931677018633537</v>
      </c>
      <c r="O122" s="1">
        <f>IFERROR(VALUE(mlb_payrolls[[#This Row],[Total Payroll Allocations]])/VALUE(mlb_payrolls[[#This Row],[Wins]]),"")</f>
        <v>1110071.4756097561</v>
      </c>
      <c r="P122" s="1">
        <f>SUM(mlb_payrolls[[#This Row],[Active 26-Man]],mlb_payrolls[[#This Row],[Injured]],mlb_payrolls[[#This Row],[Retained]],mlb_payrolls[[#This Row],[Buried]])</f>
        <v>91025861</v>
      </c>
      <c r="Q122" s="1">
        <f>mlb_payrolls[[#This Row],[Total Payroll Allocations]]-mlb_payrolls[[#This Row],[Payroll Parts Sum]]</f>
        <v>0</v>
      </c>
      <c r="R122" s="2">
        <f>IF(mlb_payrolls[[#This Row],[Total Payroll Allocations]]&gt;0, mlb_payrolls[[#This Row],[Active 26-Man]]/mlb_payrolls[[#This Row],[Total Payroll Allocations]],"")</f>
        <v>0.74238699044000256</v>
      </c>
      <c r="S122" s="2">
        <f>IF(mlb_payrolls[[#This Row],[Total Payroll Allocations]]&gt;0,mlb_payrolls[[#This Row],[Injured]]/mlb_payrolls[[#This Row],[Total Payroll Allocations]])</f>
        <v>5.1309594314081795E-2</v>
      </c>
      <c r="T122" s="3">
        <f>IF(mlb_payrolls[[#This Row],[Total Payroll Allocations]]&gt;0,mlb_payrolls[[#This Row],[Retained]]/mlb_payrolls[[#This Row],[Total Payroll Allocations]])</f>
        <v>0.19216642180401897</v>
      </c>
      <c r="U122" s="3">
        <f>IF(mlb_payrolls[[#This Row],[Total Payroll Allocations]]&gt;0,mlb_payrolls[[#This Row],[Buried]]/mlb_payrolls[[#This Row],[Total Payroll Allocations]])</f>
        <v>1.4136993441896693E-2</v>
      </c>
      <c r="V122">
        <f>IF(mlb_payrolls[[#This Row],[Postseason]]="No Playoffs",0,1)</f>
        <v>0</v>
      </c>
    </row>
    <row r="123" spans="1:22" x14ac:dyDescent="0.3">
      <c r="A123" t="s">
        <v>69</v>
      </c>
      <c r="B123" t="s">
        <v>70</v>
      </c>
      <c r="C123">
        <v>2019</v>
      </c>
      <c r="D123">
        <v>27.5</v>
      </c>
      <c r="E123" s="1">
        <v>91371201</v>
      </c>
      <c r="F123" s="1">
        <v>67330431</v>
      </c>
      <c r="G123" s="1">
        <v>10267750</v>
      </c>
      <c r="H123" s="1">
        <v>13080697</v>
      </c>
      <c r="I123" s="1">
        <v>692323</v>
      </c>
      <c r="J123">
        <v>72</v>
      </c>
      <c r="K123">
        <v>89</v>
      </c>
      <c r="L123" t="s">
        <v>14</v>
      </c>
      <c r="M123">
        <f>mlb_payrolls[[#This Row],[Wins]] + mlb_payrolls[[#This Row],[Losses]]</f>
        <v>161</v>
      </c>
      <c r="N123" s="2">
        <f>IF(mlb_payrolls[[#This Row],[Games]] &gt;0, mlb_payrolls[[#This Row],[Wins]]/mlb_payrolls[[#This Row],[Games]], "")</f>
        <v>0.44720496894409939</v>
      </c>
      <c r="O123" s="1">
        <f>IFERROR(VALUE(mlb_payrolls[[#This Row],[Total Payroll Allocations]])/VALUE(mlb_payrolls[[#This Row],[Wins]]),"")</f>
        <v>1269044.4583333333</v>
      </c>
      <c r="P123" s="1">
        <f>SUM(mlb_payrolls[[#This Row],[Active 26-Man]],mlb_payrolls[[#This Row],[Injured]],mlb_payrolls[[#This Row],[Retained]],mlb_payrolls[[#This Row],[Buried]])</f>
        <v>91371201</v>
      </c>
      <c r="Q123" s="1">
        <f>mlb_payrolls[[#This Row],[Total Payroll Allocations]]-mlb_payrolls[[#This Row],[Payroll Parts Sum]]</f>
        <v>0</v>
      </c>
      <c r="R123" s="2">
        <f>IF(mlb_payrolls[[#This Row],[Total Payroll Allocations]]&gt;0, mlb_payrolls[[#This Row],[Active 26-Man]]/mlb_payrolls[[#This Row],[Total Payroll Allocations]],"")</f>
        <v>0.736888978836997</v>
      </c>
      <c r="S123" s="2">
        <f>IF(mlb_payrolls[[#This Row],[Total Payroll Allocations]]&gt;0,mlb_payrolls[[#This Row],[Injured]]/mlb_payrolls[[#This Row],[Total Payroll Allocations]])</f>
        <v>0.11237402909916878</v>
      </c>
      <c r="T123" s="3">
        <f>IF(mlb_payrolls[[#This Row],[Total Payroll Allocations]]&gt;0,mlb_payrolls[[#This Row],[Retained]]/mlb_payrolls[[#This Row],[Total Payroll Allocations]])</f>
        <v>0.14315995474328941</v>
      </c>
      <c r="U123" s="3">
        <f>IF(mlb_payrolls[[#This Row],[Total Payroll Allocations]]&gt;0,mlb_payrolls[[#This Row],[Buried]]/mlb_payrolls[[#This Row],[Total Payroll Allocations]])</f>
        <v>7.5770373205447964E-3</v>
      </c>
      <c r="V123">
        <f>IF(mlb_payrolls[[#This Row],[Postseason]]="No Playoffs",0,1)</f>
        <v>0</v>
      </c>
    </row>
    <row r="124" spans="1:22" x14ac:dyDescent="0.3">
      <c r="A124" t="s">
        <v>31</v>
      </c>
      <c r="B124" t="s">
        <v>32</v>
      </c>
      <c r="C124">
        <v>2021</v>
      </c>
      <c r="D124">
        <v>27.4</v>
      </c>
      <c r="E124" s="1">
        <v>91595545</v>
      </c>
      <c r="F124" s="1">
        <v>52514932</v>
      </c>
      <c r="G124" s="1">
        <v>15758956</v>
      </c>
      <c r="H124" s="1">
        <v>21740784</v>
      </c>
      <c r="I124" s="1">
        <v>1580873</v>
      </c>
      <c r="J124">
        <v>74</v>
      </c>
      <c r="K124">
        <v>88</v>
      </c>
      <c r="L124" t="s">
        <v>14</v>
      </c>
      <c r="M124">
        <f>mlb_payrolls[[#This Row],[Wins]] + mlb_payrolls[[#This Row],[Losses]]</f>
        <v>162</v>
      </c>
      <c r="N124" s="2">
        <f>IF(mlb_payrolls[[#This Row],[Games]] &gt;0, mlb_payrolls[[#This Row],[Wins]]/mlb_payrolls[[#This Row],[Games]], "")</f>
        <v>0.4567901234567901</v>
      </c>
      <c r="O124" s="1">
        <f>IFERROR(VALUE(mlb_payrolls[[#This Row],[Total Payroll Allocations]])/VALUE(mlb_payrolls[[#This Row],[Wins]]),"")</f>
        <v>1237777.6351351351</v>
      </c>
      <c r="P124" s="1">
        <f>SUM(mlb_payrolls[[#This Row],[Active 26-Man]],mlb_payrolls[[#This Row],[Injured]],mlb_payrolls[[#This Row],[Retained]],mlb_payrolls[[#This Row],[Buried]])</f>
        <v>91595545</v>
      </c>
      <c r="Q124" s="1">
        <f>mlb_payrolls[[#This Row],[Total Payroll Allocations]]-mlb_payrolls[[#This Row],[Payroll Parts Sum]]</f>
        <v>0</v>
      </c>
      <c r="R124" s="2">
        <f>IF(mlb_payrolls[[#This Row],[Total Payroll Allocations]]&gt;0, mlb_payrolls[[#This Row],[Active 26-Man]]/mlb_payrolls[[#This Row],[Total Payroll Allocations]],"")</f>
        <v>0.57333500226457523</v>
      </c>
      <c r="S124" s="2">
        <f>IF(mlb_payrolls[[#This Row],[Total Payroll Allocations]]&gt;0,mlb_payrolls[[#This Row],[Injured]]/mlb_payrolls[[#This Row],[Total Payroll Allocations]])</f>
        <v>0.17204937205188309</v>
      </c>
      <c r="T124" s="3">
        <f>IF(mlb_payrolls[[#This Row],[Total Payroll Allocations]]&gt;0,mlb_payrolls[[#This Row],[Retained]]/mlb_payrolls[[#This Row],[Total Payroll Allocations]])</f>
        <v>0.23735634740750763</v>
      </c>
      <c r="U124" s="3">
        <f>IF(mlb_payrolls[[#This Row],[Total Payroll Allocations]]&gt;0,mlb_payrolls[[#This Row],[Buried]]/mlb_payrolls[[#This Row],[Total Payroll Allocations]])</f>
        <v>1.725927827603406E-2</v>
      </c>
      <c r="V124">
        <f>IF(mlb_payrolls[[#This Row],[Postseason]]="No Playoffs",0,1)</f>
        <v>0</v>
      </c>
    </row>
    <row r="125" spans="1:22" x14ac:dyDescent="0.3">
      <c r="A125" t="s">
        <v>43</v>
      </c>
      <c r="B125" t="s">
        <v>44</v>
      </c>
      <c r="C125">
        <v>2021</v>
      </c>
      <c r="D125">
        <v>27.5</v>
      </c>
      <c r="E125" s="1">
        <v>91632929</v>
      </c>
      <c r="F125" s="1">
        <v>54229878</v>
      </c>
      <c r="G125" s="1">
        <v>8694478</v>
      </c>
      <c r="H125" s="1">
        <v>25868212</v>
      </c>
      <c r="I125" s="1">
        <v>2840361</v>
      </c>
      <c r="J125">
        <v>52</v>
      </c>
      <c r="K125">
        <v>110</v>
      </c>
      <c r="L125" t="s">
        <v>14</v>
      </c>
      <c r="M125">
        <f>mlb_payrolls[[#This Row],[Wins]] + mlb_payrolls[[#This Row],[Losses]]</f>
        <v>162</v>
      </c>
      <c r="N125" s="2">
        <f>IF(mlb_payrolls[[#This Row],[Games]] &gt;0, mlb_payrolls[[#This Row],[Wins]]/mlb_payrolls[[#This Row],[Games]], "")</f>
        <v>0.32098765432098764</v>
      </c>
      <c r="O125" s="1">
        <f>IFERROR(VALUE(mlb_payrolls[[#This Row],[Total Payroll Allocations]])/VALUE(mlb_payrolls[[#This Row],[Wins]]),"")</f>
        <v>1762171.7115384615</v>
      </c>
      <c r="P125" s="1">
        <f>SUM(mlb_payrolls[[#This Row],[Active 26-Man]],mlb_payrolls[[#This Row],[Injured]],mlb_payrolls[[#This Row],[Retained]],mlb_payrolls[[#This Row],[Buried]])</f>
        <v>91632929</v>
      </c>
      <c r="Q125" s="1">
        <f>mlb_payrolls[[#This Row],[Total Payroll Allocations]]-mlb_payrolls[[#This Row],[Payroll Parts Sum]]</f>
        <v>0</v>
      </c>
      <c r="R125" s="2">
        <f>IF(mlb_payrolls[[#This Row],[Total Payroll Allocations]]&gt;0, mlb_payrolls[[#This Row],[Active 26-Man]]/mlb_payrolls[[#This Row],[Total Payroll Allocations]],"")</f>
        <v>0.59181648553436506</v>
      </c>
      <c r="S125" s="2">
        <f>IF(mlb_payrolls[[#This Row],[Total Payroll Allocations]]&gt;0,mlb_payrolls[[#This Row],[Injured]]/mlb_payrolls[[#This Row],[Total Payroll Allocations]])</f>
        <v>9.488377262283082E-2</v>
      </c>
      <c r="T125" s="3">
        <f>IF(mlb_payrolls[[#This Row],[Total Payroll Allocations]]&gt;0,mlb_payrolls[[#This Row],[Retained]]/mlb_payrolls[[#This Row],[Total Payroll Allocations]])</f>
        <v>0.28230257705720613</v>
      </c>
      <c r="U125" s="3">
        <f>IF(mlb_payrolls[[#This Row],[Total Payroll Allocations]]&gt;0,mlb_payrolls[[#This Row],[Buried]]/mlb_payrolls[[#This Row],[Total Payroll Allocations]])</f>
        <v>3.099716478559798E-2</v>
      </c>
      <c r="V125">
        <f>IF(mlb_payrolls[[#This Row],[Postseason]]="No Playoffs",0,1)</f>
        <v>0</v>
      </c>
    </row>
    <row r="126" spans="1:22" x14ac:dyDescent="0.3">
      <c r="A126" t="s">
        <v>12</v>
      </c>
      <c r="B126" t="s">
        <v>13</v>
      </c>
      <c r="C126">
        <v>2014</v>
      </c>
      <c r="D126">
        <v>29.1</v>
      </c>
      <c r="E126" s="1">
        <v>91638412</v>
      </c>
      <c r="F126" s="1">
        <v>65864461</v>
      </c>
      <c r="G126" s="1">
        <v>0</v>
      </c>
      <c r="H126" s="1">
        <v>22605236</v>
      </c>
      <c r="I126" s="1">
        <v>3168715</v>
      </c>
      <c r="J126">
        <v>88</v>
      </c>
      <c r="K126">
        <v>74</v>
      </c>
      <c r="L126" t="s">
        <v>21</v>
      </c>
      <c r="M126">
        <f>mlb_payrolls[[#This Row],[Wins]] + mlb_payrolls[[#This Row],[Losses]]</f>
        <v>162</v>
      </c>
      <c r="N126" s="2">
        <f>IF(mlb_payrolls[[#This Row],[Games]] &gt;0, mlb_payrolls[[#This Row],[Wins]]/mlb_payrolls[[#This Row],[Games]], "")</f>
        <v>0.54320987654320985</v>
      </c>
      <c r="O126" s="1">
        <f>IFERROR(VALUE(mlb_payrolls[[#This Row],[Total Payroll Allocations]])/VALUE(mlb_payrolls[[#This Row],[Wins]]),"")</f>
        <v>1041345.5909090909</v>
      </c>
      <c r="P126" s="1">
        <f>SUM(mlb_payrolls[[#This Row],[Active 26-Man]],mlb_payrolls[[#This Row],[Injured]],mlb_payrolls[[#This Row],[Retained]],mlb_payrolls[[#This Row],[Buried]])</f>
        <v>91638412</v>
      </c>
      <c r="Q126" s="1">
        <f>mlb_payrolls[[#This Row],[Total Payroll Allocations]]-mlb_payrolls[[#This Row],[Payroll Parts Sum]]</f>
        <v>0</v>
      </c>
      <c r="R126" s="2">
        <f>IF(mlb_payrolls[[#This Row],[Total Payroll Allocations]]&gt;0, mlb_payrolls[[#This Row],[Active 26-Man]]/mlb_payrolls[[#This Row],[Total Payroll Allocations]],"")</f>
        <v>0.71874293282166435</v>
      </c>
      <c r="S126" s="2">
        <f>IF(mlb_payrolls[[#This Row],[Total Payroll Allocations]]&gt;0,mlb_payrolls[[#This Row],[Injured]]/mlb_payrolls[[#This Row],[Total Payroll Allocations]])</f>
        <v>0</v>
      </c>
      <c r="T126" s="3">
        <f>IF(mlb_payrolls[[#This Row],[Total Payroll Allocations]]&gt;0,mlb_payrolls[[#This Row],[Retained]]/mlb_payrolls[[#This Row],[Total Payroll Allocations]])</f>
        <v>0.24667860896585594</v>
      </c>
      <c r="U126" s="3">
        <f>IF(mlb_payrolls[[#This Row],[Total Payroll Allocations]]&gt;0,mlb_payrolls[[#This Row],[Buried]]/mlb_payrolls[[#This Row],[Total Payroll Allocations]])</f>
        <v>3.4578458212479721E-2</v>
      </c>
      <c r="V126">
        <f>IF(mlb_payrolls[[#This Row],[Postseason]]="No Playoffs",0,1)</f>
        <v>1</v>
      </c>
    </row>
    <row r="127" spans="1:22" x14ac:dyDescent="0.3">
      <c r="A127" t="s">
        <v>35</v>
      </c>
      <c r="B127" t="s">
        <v>36</v>
      </c>
      <c r="C127">
        <v>2018</v>
      </c>
      <c r="D127">
        <v>26.5</v>
      </c>
      <c r="E127" s="1">
        <v>91665500</v>
      </c>
      <c r="F127" s="1">
        <v>43033514</v>
      </c>
      <c r="G127" s="1">
        <v>15407490</v>
      </c>
      <c r="H127" s="1">
        <v>31020460</v>
      </c>
      <c r="I127" s="1">
        <v>2204036</v>
      </c>
      <c r="J127">
        <v>63</v>
      </c>
      <c r="K127">
        <v>98</v>
      </c>
      <c r="L127" t="s">
        <v>14</v>
      </c>
      <c r="M127">
        <f>mlb_payrolls[[#This Row],[Wins]] + mlb_payrolls[[#This Row],[Losses]]</f>
        <v>161</v>
      </c>
      <c r="N127" s="2">
        <f>IF(mlb_payrolls[[#This Row],[Games]] &gt;0, mlb_payrolls[[#This Row],[Wins]]/mlb_payrolls[[#This Row],[Games]], "")</f>
        <v>0.39130434782608697</v>
      </c>
      <c r="O127" s="1">
        <f>IFERROR(VALUE(mlb_payrolls[[#This Row],[Total Payroll Allocations]])/VALUE(mlb_payrolls[[#This Row],[Wins]]),"")</f>
        <v>1455007.9365079366</v>
      </c>
      <c r="P127" s="1">
        <f>SUM(mlb_payrolls[[#This Row],[Active 26-Man]],mlb_payrolls[[#This Row],[Injured]],mlb_payrolls[[#This Row],[Retained]],mlb_payrolls[[#This Row],[Buried]])</f>
        <v>91665500</v>
      </c>
      <c r="Q127" s="1">
        <f>mlb_payrolls[[#This Row],[Total Payroll Allocations]]-mlb_payrolls[[#This Row],[Payroll Parts Sum]]</f>
        <v>0</v>
      </c>
      <c r="R127" s="2">
        <f>IF(mlb_payrolls[[#This Row],[Total Payroll Allocations]]&gt;0, mlb_payrolls[[#This Row],[Active 26-Man]]/mlb_payrolls[[#This Row],[Total Payroll Allocations]],"")</f>
        <v>0.46946249134079887</v>
      </c>
      <c r="S127" s="2">
        <f>IF(mlb_payrolls[[#This Row],[Total Payroll Allocations]]&gt;0,mlb_payrolls[[#This Row],[Injured]]/mlb_payrolls[[#This Row],[Total Payroll Allocations]])</f>
        <v>0.16808384833988796</v>
      </c>
      <c r="T127" s="3">
        <f>IF(mlb_payrolls[[#This Row],[Total Payroll Allocations]]&gt;0,mlb_payrolls[[#This Row],[Retained]]/mlb_payrolls[[#This Row],[Total Payroll Allocations]])</f>
        <v>0.3384093252095936</v>
      </c>
      <c r="U127" s="3">
        <f>IF(mlb_payrolls[[#This Row],[Total Payroll Allocations]]&gt;0,mlb_payrolls[[#This Row],[Buried]]/mlb_payrolls[[#This Row],[Total Payroll Allocations]])</f>
        <v>2.4044335109719577E-2</v>
      </c>
      <c r="V127">
        <f>IF(mlb_payrolls[[#This Row],[Postseason]]="No Playoffs",0,1)</f>
        <v>0</v>
      </c>
    </row>
    <row r="128" spans="1:22" x14ac:dyDescent="0.3">
      <c r="A128" t="s">
        <v>25</v>
      </c>
      <c r="B128" t="s">
        <v>26</v>
      </c>
      <c r="C128">
        <v>2011</v>
      </c>
      <c r="D128">
        <v>27.7</v>
      </c>
      <c r="E128" s="1">
        <v>91751399</v>
      </c>
      <c r="F128" s="1">
        <v>91391741</v>
      </c>
      <c r="G128" s="1">
        <v>0</v>
      </c>
      <c r="H128" s="1">
        <v>0</v>
      </c>
      <c r="I128" s="1">
        <v>359658</v>
      </c>
      <c r="J128">
        <v>69</v>
      </c>
      <c r="K128">
        <v>93</v>
      </c>
      <c r="L128" t="s">
        <v>14</v>
      </c>
      <c r="M128">
        <f>mlb_payrolls[[#This Row],[Wins]] + mlb_payrolls[[#This Row],[Losses]]</f>
        <v>162</v>
      </c>
      <c r="N128" s="2">
        <f>IF(mlb_payrolls[[#This Row],[Games]] &gt;0, mlb_payrolls[[#This Row],[Wins]]/mlb_payrolls[[#This Row],[Games]], "")</f>
        <v>0.42592592592592593</v>
      </c>
      <c r="O128" s="1">
        <f>IFERROR(VALUE(mlb_payrolls[[#This Row],[Total Payroll Allocations]])/VALUE(mlb_payrolls[[#This Row],[Wins]]),"")</f>
        <v>1329730.420289855</v>
      </c>
      <c r="P128" s="1">
        <f>SUM(mlb_payrolls[[#This Row],[Active 26-Man]],mlb_payrolls[[#This Row],[Injured]],mlb_payrolls[[#This Row],[Retained]],mlb_payrolls[[#This Row],[Buried]])</f>
        <v>91751399</v>
      </c>
      <c r="Q128" s="1">
        <f>mlb_payrolls[[#This Row],[Total Payroll Allocations]]-mlb_payrolls[[#This Row],[Payroll Parts Sum]]</f>
        <v>0</v>
      </c>
      <c r="R128" s="2">
        <f>IF(mlb_payrolls[[#This Row],[Total Payroll Allocations]]&gt;0, mlb_payrolls[[#This Row],[Active 26-Man]]/mlb_payrolls[[#This Row],[Total Payroll Allocations]],"")</f>
        <v>0.99608008156911043</v>
      </c>
      <c r="S128" s="2">
        <f>IF(mlb_payrolls[[#This Row],[Total Payroll Allocations]]&gt;0,mlb_payrolls[[#This Row],[Injured]]/mlb_payrolls[[#This Row],[Total Payroll Allocations]])</f>
        <v>0</v>
      </c>
      <c r="T128" s="3">
        <f>IF(mlb_payrolls[[#This Row],[Total Payroll Allocations]]&gt;0,mlb_payrolls[[#This Row],[Retained]]/mlb_payrolls[[#This Row],[Total Payroll Allocations]])</f>
        <v>0</v>
      </c>
      <c r="U128" s="3">
        <f>IF(mlb_payrolls[[#This Row],[Total Payroll Allocations]]&gt;0,mlb_payrolls[[#This Row],[Buried]]/mlb_payrolls[[#This Row],[Total Payroll Allocations]])</f>
        <v>3.919918430889539E-3</v>
      </c>
      <c r="V128">
        <f>IF(mlb_payrolls[[#This Row],[Postseason]]="No Playoffs",0,1)</f>
        <v>0</v>
      </c>
    </row>
    <row r="129" spans="1:22" x14ac:dyDescent="0.3">
      <c r="A129" t="s">
        <v>27</v>
      </c>
      <c r="B129" t="s">
        <v>28</v>
      </c>
      <c r="C129">
        <v>2011</v>
      </c>
      <c r="D129">
        <v>28.5</v>
      </c>
      <c r="E129" s="1">
        <v>92277138</v>
      </c>
      <c r="F129" s="1">
        <v>91777138</v>
      </c>
      <c r="G129" s="1">
        <v>0</v>
      </c>
      <c r="H129" s="1">
        <v>500000</v>
      </c>
      <c r="I129" s="1">
        <v>0</v>
      </c>
      <c r="J129">
        <v>96</v>
      </c>
      <c r="K129">
        <v>66</v>
      </c>
      <c r="L129" t="s">
        <v>24</v>
      </c>
      <c r="M129">
        <f>mlb_payrolls[[#This Row],[Wins]] + mlb_payrolls[[#This Row],[Losses]]</f>
        <v>162</v>
      </c>
      <c r="N129" s="2">
        <f>IF(mlb_payrolls[[#This Row],[Games]] &gt;0, mlb_payrolls[[#This Row],[Wins]]/mlb_payrolls[[#This Row],[Games]], "")</f>
        <v>0.59259259259259256</v>
      </c>
      <c r="O129" s="1">
        <f>IFERROR(VALUE(mlb_payrolls[[#This Row],[Total Payroll Allocations]])/VALUE(mlb_payrolls[[#This Row],[Wins]]),"")</f>
        <v>961220.1875</v>
      </c>
      <c r="P129" s="1">
        <f>SUM(mlb_payrolls[[#This Row],[Active 26-Man]],mlb_payrolls[[#This Row],[Injured]],mlb_payrolls[[#This Row],[Retained]],mlb_payrolls[[#This Row],[Buried]])</f>
        <v>92277138</v>
      </c>
      <c r="Q129" s="1">
        <f>mlb_payrolls[[#This Row],[Total Payroll Allocations]]-mlb_payrolls[[#This Row],[Payroll Parts Sum]]</f>
        <v>0</v>
      </c>
      <c r="R129" s="2">
        <f>IF(mlb_payrolls[[#This Row],[Total Payroll Allocations]]&gt;0, mlb_payrolls[[#This Row],[Active 26-Man]]/mlb_payrolls[[#This Row],[Total Payroll Allocations]],"")</f>
        <v>0.99458153979591346</v>
      </c>
      <c r="S129" s="2">
        <f>IF(mlb_payrolls[[#This Row],[Total Payroll Allocations]]&gt;0,mlb_payrolls[[#This Row],[Injured]]/mlb_payrolls[[#This Row],[Total Payroll Allocations]])</f>
        <v>0</v>
      </c>
      <c r="T129" s="3">
        <f>IF(mlb_payrolls[[#This Row],[Total Payroll Allocations]]&gt;0,mlb_payrolls[[#This Row],[Retained]]/mlb_payrolls[[#This Row],[Total Payroll Allocations]])</f>
        <v>5.4184602040865202E-3</v>
      </c>
      <c r="U129" s="3">
        <f>IF(mlb_payrolls[[#This Row],[Total Payroll Allocations]]&gt;0,mlb_payrolls[[#This Row],[Buried]]/mlb_payrolls[[#This Row],[Total Payroll Allocations]])</f>
        <v>0</v>
      </c>
      <c r="V129">
        <f>IF(mlb_payrolls[[#This Row],[Postseason]]="No Playoffs",0,1)</f>
        <v>1</v>
      </c>
    </row>
    <row r="130" spans="1:22" x14ac:dyDescent="0.3">
      <c r="A130" t="s">
        <v>31</v>
      </c>
      <c r="B130" t="s">
        <v>32</v>
      </c>
      <c r="C130">
        <v>2022</v>
      </c>
      <c r="D130">
        <v>26.4</v>
      </c>
      <c r="E130" s="1">
        <v>92613711</v>
      </c>
      <c r="F130" s="1">
        <v>62728828</v>
      </c>
      <c r="G130" s="1">
        <v>6413200</v>
      </c>
      <c r="H130" s="1">
        <v>21516010</v>
      </c>
      <c r="I130" s="1">
        <v>1955673</v>
      </c>
      <c r="J130">
        <v>65</v>
      </c>
      <c r="K130">
        <v>97</v>
      </c>
      <c r="L130" t="s">
        <v>14</v>
      </c>
      <c r="M130">
        <f>mlb_payrolls[[#This Row],[Wins]] + mlb_payrolls[[#This Row],[Losses]]</f>
        <v>162</v>
      </c>
      <c r="N130" s="2">
        <f>IF(mlb_payrolls[[#This Row],[Games]] &gt;0, mlb_payrolls[[#This Row],[Wins]]/mlb_payrolls[[#This Row],[Games]], "")</f>
        <v>0.40123456790123457</v>
      </c>
      <c r="O130" s="1">
        <f>IFERROR(VALUE(mlb_payrolls[[#This Row],[Total Payroll Allocations]])/VALUE(mlb_payrolls[[#This Row],[Wins]]),"")</f>
        <v>1424826.3230769231</v>
      </c>
      <c r="P130" s="1">
        <f>SUM(mlb_payrolls[[#This Row],[Active 26-Man]],mlb_payrolls[[#This Row],[Injured]],mlb_payrolls[[#This Row],[Retained]],mlb_payrolls[[#This Row],[Buried]])</f>
        <v>92613711</v>
      </c>
      <c r="Q130" s="1">
        <f>mlb_payrolls[[#This Row],[Total Payroll Allocations]]-mlb_payrolls[[#This Row],[Payroll Parts Sum]]</f>
        <v>0</v>
      </c>
      <c r="R130" s="2">
        <f>IF(mlb_payrolls[[#This Row],[Total Payroll Allocations]]&gt;0, mlb_payrolls[[#This Row],[Active 26-Man]]/mlb_payrolls[[#This Row],[Total Payroll Allocations]],"")</f>
        <v>0.67731686078317277</v>
      </c>
      <c r="S130" s="2">
        <f>IF(mlb_payrolls[[#This Row],[Total Payroll Allocations]]&gt;0,mlb_payrolls[[#This Row],[Injured]]/mlb_payrolls[[#This Row],[Total Payroll Allocations]])</f>
        <v>6.924676628064283E-2</v>
      </c>
      <c r="T130" s="3">
        <f>IF(mlb_payrolls[[#This Row],[Total Payroll Allocations]]&gt;0,mlb_payrolls[[#This Row],[Retained]]/mlb_payrolls[[#This Row],[Total Payroll Allocations]])</f>
        <v>0.23231992075125896</v>
      </c>
      <c r="U130" s="3">
        <f>IF(mlb_payrolls[[#This Row],[Total Payroll Allocations]]&gt;0,mlb_payrolls[[#This Row],[Buried]]/mlb_payrolls[[#This Row],[Total Payroll Allocations]])</f>
        <v>2.1116452184925406E-2</v>
      </c>
      <c r="V130">
        <f>IF(mlb_payrolls[[#This Row],[Postseason]]="No Playoffs",0,1)</f>
        <v>0</v>
      </c>
    </row>
    <row r="131" spans="1:22" x14ac:dyDescent="0.3">
      <c r="A131" t="s">
        <v>22</v>
      </c>
      <c r="B131" t="s">
        <v>23</v>
      </c>
      <c r="C131">
        <v>2013</v>
      </c>
      <c r="D131">
        <v>28.1</v>
      </c>
      <c r="E131" s="1">
        <v>93008897</v>
      </c>
      <c r="F131" s="1">
        <v>78454465</v>
      </c>
      <c r="G131" s="1">
        <v>602603</v>
      </c>
      <c r="H131" s="1">
        <v>13914068</v>
      </c>
      <c r="I131" s="1">
        <v>37761</v>
      </c>
      <c r="J131">
        <v>92</v>
      </c>
      <c r="K131">
        <v>70</v>
      </c>
      <c r="L131" t="s">
        <v>21</v>
      </c>
      <c r="M131">
        <f>mlb_payrolls[[#This Row],[Wins]] + mlb_payrolls[[#This Row],[Losses]]</f>
        <v>162</v>
      </c>
      <c r="N131" s="2">
        <f>IF(mlb_payrolls[[#This Row],[Games]] &gt;0, mlb_payrolls[[#This Row],[Wins]]/mlb_payrolls[[#This Row],[Games]], "")</f>
        <v>0.5679012345679012</v>
      </c>
      <c r="O131" s="1">
        <f>IFERROR(VALUE(mlb_payrolls[[#This Row],[Total Payroll Allocations]])/VALUE(mlb_payrolls[[#This Row],[Wins]]),"")</f>
        <v>1010966.2717391305</v>
      </c>
      <c r="P131" s="1">
        <f>SUM(mlb_payrolls[[#This Row],[Active 26-Man]],mlb_payrolls[[#This Row],[Injured]],mlb_payrolls[[#This Row],[Retained]],mlb_payrolls[[#This Row],[Buried]])</f>
        <v>93008897</v>
      </c>
      <c r="Q131" s="1">
        <f>mlb_payrolls[[#This Row],[Total Payroll Allocations]]-mlb_payrolls[[#This Row],[Payroll Parts Sum]]</f>
        <v>0</v>
      </c>
      <c r="R131" s="2">
        <f>IF(mlb_payrolls[[#This Row],[Total Payroll Allocations]]&gt;0, mlb_payrolls[[#This Row],[Active 26-Man]]/mlb_payrolls[[#This Row],[Total Payroll Allocations]],"")</f>
        <v>0.84351570151401756</v>
      </c>
      <c r="S131" s="2">
        <f>IF(mlb_payrolls[[#This Row],[Total Payroll Allocations]]&gt;0,mlb_payrolls[[#This Row],[Injured]]/mlb_payrolls[[#This Row],[Total Payroll Allocations]])</f>
        <v>6.4789823278949329E-3</v>
      </c>
      <c r="T131" s="3">
        <f>IF(mlb_payrolls[[#This Row],[Total Payroll Allocations]]&gt;0,mlb_payrolls[[#This Row],[Retained]]/mlb_payrolls[[#This Row],[Total Payroll Allocations]])</f>
        <v>0.14959932274006002</v>
      </c>
      <c r="U131" s="3">
        <f>IF(mlb_payrolls[[#This Row],[Total Payroll Allocations]]&gt;0,mlb_payrolls[[#This Row],[Buried]]/mlb_payrolls[[#This Row],[Total Payroll Allocations]])</f>
        <v>4.0599341802752481E-4</v>
      </c>
      <c r="V131">
        <f>IF(mlb_payrolls[[#This Row],[Postseason]]="No Playoffs",0,1)</f>
        <v>1</v>
      </c>
    </row>
    <row r="132" spans="1:22" x14ac:dyDescent="0.3">
      <c r="A132" t="s">
        <v>33</v>
      </c>
      <c r="B132" t="s">
        <v>34</v>
      </c>
      <c r="C132">
        <v>2023</v>
      </c>
      <c r="D132">
        <v>26.9</v>
      </c>
      <c r="E132" s="1">
        <v>93378663</v>
      </c>
      <c r="F132" s="1">
        <v>49949016</v>
      </c>
      <c r="G132" s="1">
        <v>32648896</v>
      </c>
      <c r="H132" s="1">
        <v>7902056</v>
      </c>
      <c r="I132" s="1">
        <v>2646435</v>
      </c>
      <c r="J132">
        <v>71</v>
      </c>
      <c r="K132">
        <v>91</v>
      </c>
      <c r="L132" t="s">
        <v>14</v>
      </c>
      <c r="M132">
        <f>mlb_payrolls[[#This Row],[Wins]] + mlb_payrolls[[#This Row],[Losses]]</f>
        <v>162</v>
      </c>
      <c r="N132" s="2">
        <f>IF(mlb_payrolls[[#This Row],[Games]] &gt;0, mlb_payrolls[[#This Row],[Wins]]/mlb_payrolls[[#This Row],[Games]], "")</f>
        <v>0.43827160493827161</v>
      </c>
      <c r="O132" s="1">
        <f>IFERROR(VALUE(mlb_payrolls[[#This Row],[Total Payroll Allocations]])/VALUE(mlb_payrolls[[#This Row],[Wins]]),"")</f>
        <v>1315192.4366197183</v>
      </c>
      <c r="P132" s="1">
        <f>SUM(mlb_payrolls[[#This Row],[Active 26-Man]],mlb_payrolls[[#This Row],[Injured]],mlb_payrolls[[#This Row],[Retained]],mlb_payrolls[[#This Row],[Buried]])</f>
        <v>93146403</v>
      </c>
      <c r="Q132" s="1">
        <f>mlb_payrolls[[#This Row],[Total Payroll Allocations]]-mlb_payrolls[[#This Row],[Payroll Parts Sum]]</f>
        <v>232260</v>
      </c>
      <c r="R132" s="2">
        <f>IF(mlb_payrolls[[#This Row],[Total Payroll Allocations]]&gt;0, mlb_payrolls[[#This Row],[Active 26-Man]]/mlb_payrolls[[#This Row],[Total Payroll Allocations]],"")</f>
        <v>0.53490823701341705</v>
      </c>
      <c r="S132" s="2">
        <f>IF(mlb_payrolls[[#This Row],[Total Payroll Allocations]]&gt;0,mlb_payrolls[[#This Row],[Injured]]/mlb_payrolls[[#This Row],[Total Payroll Allocations]])</f>
        <v>0.34963978869562523</v>
      </c>
      <c r="T132" s="3">
        <f>IF(mlb_payrolls[[#This Row],[Total Payroll Allocations]]&gt;0,mlb_payrolls[[#This Row],[Retained]]/mlb_payrolls[[#This Row],[Total Payroll Allocations]])</f>
        <v>8.4623786056992487E-2</v>
      </c>
      <c r="U132" s="3">
        <f>IF(mlb_payrolls[[#This Row],[Total Payroll Allocations]]&gt;0,mlb_payrolls[[#This Row],[Buried]]/mlb_payrolls[[#This Row],[Total Payroll Allocations]])</f>
        <v>2.8340896249499738E-2</v>
      </c>
      <c r="V132">
        <f>IF(mlb_payrolls[[#This Row],[Postseason]]="No Playoffs",0,1)</f>
        <v>0</v>
      </c>
    </row>
    <row r="133" spans="1:22" x14ac:dyDescent="0.3">
      <c r="A133" t="s">
        <v>27</v>
      </c>
      <c r="B133" t="s">
        <v>28</v>
      </c>
      <c r="C133">
        <v>2015</v>
      </c>
      <c r="D133">
        <v>26.5</v>
      </c>
      <c r="E133" s="1">
        <v>93852267</v>
      </c>
      <c r="F133" s="1">
        <v>58772714</v>
      </c>
      <c r="G133" s="1">
        <v>1020000</v>
      </c>
      <c r="H133" s="1">
        <v>33510458</v>
      </c>
      <c r="I133" s="1">
        <v>549095</v>
      </c>
      <c r="J133">
        <v>68</v>
      </c>
      <c r="K133">
        <v>94</v>
      </c>
      <c r="L133" t="s">
        <v>14</v>
      </c>
      <c r="M133">
        <f>mlb_payrolls[[#This Row],[Wins]] + mlb_payrolls[[#This Row],[Losses]]</f>
        <v>162</v>
      </c>
      <c r="N133" s="2">
        <f>IF(mlb_payrolls[[#This Row],[Games]] &gt;0, mlb_payrolls[[#This Row],[Wins]]/mlb_payrolls[[#This Row],[Games]], "")</f>
        <v>0.41975308641975306</v>
      </c>
      <c r="O133" s="1">
        <f>IFERROR(VALUE(mlb_payrolls[[#This Row],[Total Payroll Allocations]])/VALUE(mlb_payrolls[[#This Row],[Wins]]),"")</f>
        <v>1380180.3970588236</v>
      </c>
      <c r="P133" s="1">
        <f>SUM(mlb_payrolls[[#This Row],[Active 26-Man]],mlb_payrolls[[#This Row],[Injured]],mlb_payrolls[[#This Row],[Retained]],mlb_payrolls[[#This Row],[Buried]])</f>
        <v>93852267</v>
      </c>
      <c r="Q133" s="1">
        <f>mlb_payrolls[[#This Row],[Total Payroll Allocations]]-mlb_payrolls[[#This Row],[Payroll Parts Sum]]</f>
        <v>0</v>
      </c>
      <c r="R133" s="2">
        <f>IF(mlb_payrolls[[#This Row],[Total Payroll Allocations]]&gt;0, mlb_payrolls[[#This Row],[Active 26-Man]]/mlb_payrolls[[#This Row],[Total Payroll Allocations]],"")</f>
        <v>0.62622583213679861</v>
      </c>
      <c r="S133" s="2">
        <f>IF(mlb_payrolls[[#This Row],[Total Payroll Allocations]]&gt;0,mlb_payrolls[[#This Row],[Injured]]/mlb_payrolls[[#This Row],[Total Payroll Allocations]])</f>
        <v>1.0868144506301591E-2</v>
      </c>
      <c r="T133" s="3">
        <f>IF(mlb_payrolls[[#This Row],[Total Payroll Allocations]]&gt;0,mlb_payrolls[[#This Row],[Retained]]/mlb_payrolls[[#This Row],[Total Payroll Allocations]])</f>
        <v>0.35705539217289234</v>
      </c>
      <c r="U133" s="3">
        <f>IF(mlb_payrolls[[#This Row],[Total Payroll Allocations]]&gt;0,mlb_payrolls[[#This Row],[Buried]]/mlb_payrolls[[#This Row],[Total Payroll Allocations]])</f>
        <v>5.8506311840075213E-3</v>
      </c>
      <c r="V133">
        <f>IF(mlb_payrolls[[#This Row],[Postseason]]="No Playoffs",0,1)</f>
        <v>0</v>
      </c>
    </row>
    <row r="134" spans="1:22" x14ac:dyDescent="0.3">
      <c r="A134" t="s">
        <v>73</v>
      </c>
      <c r="B134" t="s">
        <v>74</v>
      </c>
      <c r="C134">
        <v>2014</v>
      </c>
      <c r="D134">
        <v>27.5</v>
      </c>
      <c r="E134" s="1">
        <v>94478037</v>
      </c>
      <c r="F134" s="1">
        <v>74021346</v>
      </c>
      <c r="G134" s="1">
        <v>0</v>
      </c>
      <c r="H134" s="1">
        <v>19290982</v>
      </c>
      <c r="I134" s="1">
        <v>1165709</v>
      </c>
      <c r="J134">
        <v>79</v>
      </c>
      <c r="K134">
        <v>83</v>
      </c>
      <c r="L134" t="s">
        <v>14</v>
      </c>
      <c r="M134">
        <f>mlb_payrolls[[#This Row],[Wins]] + mlb_payrolls[[#This Row],[Losses]]</f>
        <v>162</v>
      </c>
      <c r="N134" s="2">
        <f>IF(mlb_payrolls[[#This Row],[Games]] &gt;0, mlb_payrolls[[#This Row],[Wins]]/mlb_payrolls[[#This Row],[Games]], "")</f>
        <v>0.48765432098765432</v>
      </c>
      <c r="O134" s="1">
        <f>IFERROR(VALUE(mlb_payrolls[[#This Row],[Total Payroll Allocations]])/VALUE(mlb_payrolls[[#This Row],[Wins]]),"")</f>
        <v>1195924.5189873418</v>
      </c>
      <c r="P134" s="1">
        <f>SUM(mlb_payrolls[[#This Row],[Active 26-Man]],mlb_payrolls[[#This Row],[Injured]],mlb_payrolls[[#This Row],[Retained]],mlb_payrolls[[#This Row],[Buried]])</f>
        <v>94478037</v>
      </c>
      <c r="Q134" s="1">
        <f>mlb_payrolls[[#This Row],[Total Payroll Allocations]]-mlb_payrolls[[#This Row],[Payroll Parts Sum]]</f>
        <v>0</v>
      </c>
      <c r="R134" s="2">
        <f>IF(mlb_payrolls[[#This Row],[Total Payroll Allocations]]&gt;0, mlb_payrolls[[#This Row],[Active 26-Man]]/mlb_payrolls[[#This Row],[Total Payroll Allocations]],"")</f>
        <v>0.78347675661381488</v>
      </c>
      <c r="S134" s="2">
        <f>IF(mlb_payrolls[[#This Row],[Total Payroll Allocations]]&gt;0,mlb_payrolls[[#This Row],[Injured]]/mlb_payrolls[[#This Row],[Total Payroll Allocations]])</f>
        <v>0</v>
      </c>
      <c r="T134" s="3">
        <f>IF(mlb_payrolls[[#This Row],[Total Payroll Allocations]]&gt;0,mlb_payrolls[[#This Row],[Retained]]/mlb_payrolls[[#This Row],[Total Payroll Allocations]])</f>
        <v>0.20418483080887889</v>
      </c>
      <c r="U134" s="3">
        <f>IF(mlb_payrolls[[#This Row],[Total Payroll Allocations]]&gt;0,mlb_payrolls[[#This Row],[Buried]]/mlb_payrolls[[#This Row],[Total Payroll Allocations]])</f>
        <v>1.2338412577306194E-2</v>
      </c>
      <c r="V134">
        <f>IF(mlb_payrolls[[#This Row],[Postseason]]="No Playoffs",0,1)</f>
        <v>0</v>
      </c>
    </row>
    <row r="135" spans="1:22" x14ac:dyDescent="0.3">
      <c r="A135" t="s">
        <v>57</v>
      </c>
      <c r="B135" t="s">
        <v>58</v>
      </c>
      <c r="C135">
        <v>2013</v>
      </c>
      <c r="D135">
        <v>27.7</v>
      </c>
      <c r="E135" s="1">
        <v>94947950</v>
      </c>
      <c r="F135" s="1">
        <v>94401592</v>
      </c>
      <c r="G135" s="1">
        <v>0</v>
      </c>
      <c r="H135" s="1">
        <v>202972</v>
      </c>
      <c r="I135" s="1">
        <v>343386</v>
      </c>
      <c r="J135">
        <v>96</v>
      </c>
      <c r="K135">
        <v>66</v>
      </c>
      <c r="L135" t="s">
        <v>24</v>
      </c>
      <c r="M135">
        <f>mlb_payrolls[[#This Row],[Wins]] + mlb_payrolls[[#This Row],[Losses]]</f>
        <v>162</v>
      </c>
      <c r="N135" s="2">
        <f>IF(mlb_payrolls[[#This Row],[Games]] &gt;0, mlb_payrolls[[#This Row],[Wins]]/mlb_payrolls[[#This Row],[Games]], "")</f>
        <v>0.59259259259259256</v>
      </c>
      <c r="O135" s="1">
        <f>IFERROR(VALUE(mlb_payrolls[[#This Row],[Total Payroll Allocations]])/VALUE(mlb_payrolls[[#This Row],[Wins]]),"")</f>
        <v>989041.14583333337</v>
      </c>
      <c r="P135" s="1">
        <f>SUM(mlb_payrolls[[#This Row],[Active 26-Man]],mlb_payrolls[[#This Row],[Injured]],mlb_payrolls[[#This Row],[Retained]],mlb_payrolls[[#This Row],[Buried]])</f>
        <v>94947950</v>
      </c>
      <c r="Q135" s="1">
        <f>mlb_payrolls[[#This Row],[Total Payroll Allocations]]-mlb_payrolls[[#This Row],[Payroll Parts Sum]]</f>
        <v>0</v>
      </c>
      <c r="R135" s="2">
        <f>IF(mlb_payrolls[[#This Row],[Total Payroll Allocations]]&gt;0, mlb_payrolls[[#This Row],[Active 26-Man]]/mlb_payrolls[[#This Row],[Total Payroll Allocations]],"")</f>
        <v>0.99424571041291576</v>
      </c>
      <c r="S135" s="2">
        <f>IF(mlb_payrolls[[#This Row],[Total Payroll Allocations]]&gt;0,mlb_payrolls[[#This Row],[Injured]]/mlb_payrolls[[#This Row],[Total Payroll Allocations]])</f>
        <v>0</v>
      </c>
      <c r="T135" s="3">
        <f>IF(mlb_payrolls[[#This Row],[Total Payroll Allocations]]&gt;0,mlb_payrolls[[#This Row],[Retained]]/mlb_payrolls[[#This Row],[Total Payroll Allocations]])</f>
        <v>2.1377186131980733E-3</v>
      </c>
      <c r="U135" s="3">
        <f>IF(mlb_payrolls[[#This Row],[Total Payroll Allocations]]&gt;0,mlb_payrolls[[#This Row],[Buried]]/mlb_payrolls[[#This Row],[Total Payroll Allocations]])</f>
        <v>3.6165709738862186E-3</v>
      </c>
      <c r="V135">
        <f>IF(mlb_payrolls[[#This Row],[Postseason]]="No Playoffs",0,1)</f>
        <v>1</v>
      </c>
    </row>
    <row r="136" spans="1:22" x14ac:dyDescent="0.3">
      <c r="A136" t="s">
        <v>67</v>
      </c>
      <c r="B136" t="s">
        <v>68</v>
      </c>
      <c r="C136">
        <v>2012</v>
      </c>
      <c r="D136">
        <v>28.2</v>
      </c>
      <c r="E136" s="1">
        <v>95551627</v>
      </c>
      <c r="F136" s="1">
        <v>89817658</v>
      </c>
      <c r="G136" s="1">
        <v>0</v>
      </c>
      <c r="H136" s="1">
        <v>5083969</v>
      </c>
      <c r="I136" s="1">
        <v>650000</v>
      </c>
      <c r="J136">
        <v>73</v>
      </c>
      <c r="K136">
        <v>89</v>
      </c>
      <c r="L136" t="s">
        <v>14</v>
      </c>
      <c r="M136">
        <f>mlb_payrolls[[#This Row],[Wins]] + mlb_payrolls[[#This Row],[Losses]]</f>
        <v>162</v>
      </c>
      <c r="N136" s="2">
        <f>IF(mlb_payrolls[[#This Row],[Games]] &gt;0, mlb_payrolls[[#This Row],[Wins]]/mlb_payrolls[[#This Row],[Games]], "")</f>
        <v>0.45061728395061729</v>
      </c>
      <c r="O136" s="1">
        <f>IFERROR(VALUE(mlb_payrolls[[#This Row],[Total Payroll Allocations]])/VALUE(mlb_payrolls[[#This Row],[Wins]]),"")</f>
        <v>1308926.397260274</v>
      </c>
      <c r="P136" s="1">
        <f>SUM(mlb_payrolls[[#This Row],[Active 26-Man]],mlb_payrolls[[#This Row],[Injured]],mlb_payrolls[[#This Row],[Retained]],mlb_payrolls[[#This Row],[Buried]])</f>
        <v>95551627</v>
      </c>
      <c r="Q136" s="1">
        <f>mlb_payrolls[[#This Row],[Total Payroll Allocations]]-mlb_payrolls[[#This Row],[Payroll Parts Sum]]</f>
        <v>0</v>
      </c>
      <c r="R136" s="2">
        <f>IF(mlb_payrolls[[#This Row],[Total Payroll Allocations]]&gt;0, mlb_payrolls[[#This Row],[Active 26-Man]]/mlb_payrolls[[#This Row],[Total Payroll Allocations]],"")</f>
        <v>0.93999088053204993</v>
      </c>
      <c r="S136" s="2">
        <f>IF(mlb_payrolls[[#This Row],[Total Payroll Allocations]]&gt;0,mlb_payrolls[[#This Row],[Injured]]/mlb_payrolls[[#This Row],[Total Payroll Allocations]])</f>
        <v>0</v>
      </c>
      <c r="T136" s="3">
        <f>IF(mlb_payrolls[[#This Row],[Total Payroll Allocations]]&gt;0,mlb_payrolls[[#This Row],[Retained]]/mlb_payrolls[[#This Row],[Total Payroll Allocations]])</f>
        <v>5.3206514212468616E-2</v>
      </c>
      <c r="U136" s="3">
        <f>IF(mlb_payrolls[[#This Row],[Total Payroll Allocations]]&gt;0,mlb_payrolls[[#This Row],[Buried]]/mlb_payrolls[[#This Row],[Total Payroll Allocations]])</f>
        <v>6.8026052554814162E-3</v>
      </c>
      <c r="V136">
        <f>IF(mlb_payrolls[[#This Row],[Postseason]]="No Playoffs",0,1)</f>
        <v>0</v>
      </c>
    </row>
    <row r="137" spans="1:22" x14ac:dyDescent="0.3">
      <c r="A137" t="s">
        <v>29</v>
      </c>
      <c r="B137" t="s">
        <v>30</v>
      </c>
      <c r="C137">
        <v>2023</v>
      </c>
      <c r="D137">
        <v>27.7</v>
      </c>
      <c r="E137" s="1">
        <v>95573417</v>
      </c>
      <c r="F137" s="1">
        <v>43815845</v>
      </c>
      <c r="G137" s="1">
        <v>9699072</v>
      </c>
      <c r="H137" s="1">
        <v>38896450</v>
      </c>
      <c r="I137" s="1">
        <v>3162050</v>
      </c>
      <c r="J137">
        <v>82</v>
      </c>
      <c r="K137">
        <v>80</v>
      </c>
      <c r="L137" t="s">
        <v>14</v>
      </c>
      <c r="M137">
        <f>mlb_payrolls[[#This Row],[Wins]] + mlb_payrolls[[#This Row],[Losses]]</f>
        <v>162</v>
      </c>
      <c r="N137" s="2">
        <f>IF(mlb_payrolls[[#This Row],[Games]] &gt;0, mlb_payrolls[[#This Row],[Wins]]/mlb_payrolls[[#This Row],[Games]], "")</f>
        <v>0.50617283950617287</v>
      </c>
      <c r="O137" s="1">
        <f>IFERROR(VALUE(mlb_payrolls[[#This Row],[Total Payroll Allocations]])/VALUE(mlb_payrolls[[#This Row],[Wins]]),"")</f>
        <v>1165529.4756097561</v>
      </c>
      <c r="P137" s="1">
        <f>SUM(mlb_payrolls[[#This Row],[Active 26-Man]],mlb_payrolls[[#This Row],[Injured]],mlb_payrolls[[#This Row],[Retained]],mlb_payrolls[[#This Row],[Buried]])</f>
        <v>95573417</v>
      </c>
      <c r="Q137" s="1">
        <f>mlb_payrolls[[#This Row],[Total Payroll Allocations]]-mlb_payrolls[[#This Row],[Payroll Parts Sum]]</f>
        <v>0</v>
      </c>
      <c r="R137" s="2">
        <f>IF(mlb_payrolls[[#This Row],[Total Payroll Allocations]]&gt;0, mlb_payrolls[[#This Row],[Active 26-Man]]/mlb_payrolls[[#This Row],[Total Payroll Allocations]],"")</f>
        <v>0.45845221794256868</v>
      </c>
      <c r="S137" s="2">
        <f>IF(mlb_payrolls[[#This Row],[Total Payroll Allocations]]&gt;0,mlb_payrolls[[#This Row],[Injured]]/mlb_payrolls[[#This Row],[Total Payroll Allocations]])</f>
        <v>0.10148294687423387</v>
      </c>
      <c r="T137" s="3">
        <f>IF(mlb_payrolls[[#This Row],[Total Payroll Allocations]]&gt;0,mlb_payrolls[[#This Row],[Retained]]/mlb_payrolls[[#This Row],[Total Payroll Allocations]])</f>
        <v>0.40697979857725503</v>
      </c>
      <c r="U137" s="3">
        <f>IF(mlb_payrolls[[#This Row],[Total Payroll Allocations]]&gt;0,mlb_payrolls[[#This Row],[Buried]]/mlb_payrolls[[#This Row],[Total Payroll Allocations]])</f>
        <v>3.3085036605942426E-2</v>
      </c>
      <c r="V137">
        <f>IF(mlb_payrolls[[#This Row],[Postseason]]="No Playoffs",0,1)</f>
        <v>0</v>
      </c>
    </row>
    <row r="138" spans="1:22" x14ac:dyDescent="0.3">
      <c r="A138" t="s">
        <v>31</v>
      </c>
      <c r="B138" t="s">
        <v>32</v>
      </c>
      <c r="C138">
        <v>2023</v>
      </c>
      <c r="D138">
        <v>26.7</v>
      </c>
      <c r="E138" s="1">
        <v>95596347</v>
      </c>
      <c r="F138" s="1">
        <v>54242001</v>
      </c>
      <c r="G138" s="1">
        <v>17014952</v>
      </c>
      <c r="H138" s="1">
        <v>22659571</v>
      </c>
      <c r="I138" s="1">
        <v>1679823</v>
      </c>
      <c r="J138">
        <v>56</v>
      </c>
      <c r="K138">
        <v>106</v>
      </c>
      <c r="L138" t="s">
        <v>14</v>
      </c>
      <c r="M138">
        <f>mlb_payrolls[[#This Row],[Wins]] + mlb_payrolls[[#This Row],[Losses]]</f>
        <v>162</v>
      </c>
      <c r="N138" s="2">
        <f>IF(mlb_payrolls[[#This Row],[Games]] &gt;0, mlb_payrolls[[#This Row],[Wins]]/mlb_payrolls[[#This Row],[Games]], "")</f>
        <v>0.34567901234567899</v>
      </c>
      <c r="O138" s="1">
        <f>IFERROR(VALUE(mlb_payrolls[[#This Row],[Total Payroll Allocations]])/VALUE(mlb_payrolls[[#This Row],[Wins]]),"")</f>
        <v>1707077.625</v>
      </c>
      <c r="P138" s="1">
        <f>SUM(mlb_payrolls[[#This Row],[Active 26-Man]],mlb_payrolls[[#This Row],[Injured]],mlb_payrolls[[#This Row],[Retained]],mlb_payrolls[[#This Row],[Buried]])</f>
        <v>95596347</v>
      </c>
      <c r="Q138" s="1">
        <f>mlb_payrolls[[#This Row],[Total Payroll Allocations]]-mlb_payrolls[[#This Row],[Payroll Parts Sum]]</f>
        <v>0</v>
      </c>
      <c r="R138" s="2">
        <f>IF(mlb_payrolls[[#This Row],[Total Payroll Allocations]]&gt;0, mlb_payrolls[[#This Row],[Active 26-Man]]/mlb_payrolls[[#This Row],[Total Payroll Allocations]],"")</f>
        <v>0.56740662904200723</v>
      </c>
      <c r="S138" s="2">
        <f>IF(mlb_payrolls[[#This Row],[Total Payroll Allocations]]&gt;0,mlb_payrolls[[#This Row],[Injured]]/mlb_payrolls[[#This Row],[Total Payroll Allocations]])</f>
        <v>0.17798747058818054</v>
      </c>
      <c r="T138" s="3">
        <f>IF(mlb_payrolls[[#This Row],[Total Payroll Allocations]]&gt;0,mlb_payrolls[[#This Row],[Retained]]/mlb_payrolls[[#This Row],[Total Payroll Allocations]])</f>
        <v>0.23703385862641801</v>
      </c>
      <c r="U138" s="3">
        <f>IF(mlb_payrolls[[#This Row],[Total Payroll Allocations]]&gt;0,mlb_payrolls[[#This Row],[Buried]]/mlb_payrolls[[#This Row],[Total Payroll Allocations]])</f>
        <v>1.7572041743394232E-2</v>
      </c>
      <c r="V138">
        <f>IF(mlb_payrolls[[#This Row],[Postseason]]="No Playoffs",0,1)</f>
        <v>0</v>
      </c>
    </row>
    <row r="139" spans="1:22" x14ac:dyDescent="0.3">
      <c r="A139" t="s">
        <v>63</v>
      </c>
      <c r="B139" t="s">
        <v>64</v>
      </c>
      <c r="C139">
        <v>2021</v>
      </c>
      <c r="D139">
        <v>27</v>
      </c>
      <c r="E139" s="1">
        <v>95788819</v>
      </c>
      <c r="F139" s="1">
        <v>24843032</v>
      </c>
      <c r="G139" s="1">
        <v>7899375</v>
      </c>
      <c r="H139" s="1">
        <v>58916700</v>
      </c>
      <c r="I139" s="1">
        <v>4129712</v>
      </c>
      <c r="J139">
        <v>60</v>
      </c>
      <c r="K139">
        <v>102</v>
      </c>
      <c r="L139" t="s">
        <v>14</v>
      </c>
      <c r="M139">
        <f>mlb_payrolls[[#This Row],[Wins]] + mlb_payrolls[[#This Row],[Losses]]</f>
        <v>162</v>
      </c>
      <c r="N139" s="2">
        <f>IF(mlb_payrolls[[#This Row],[Games]] &gt;0, mlb_payrolls[[#This Row],[Wins]]/mlb_payrolls[[#This Row],[Games]], "")</f>
        <v>0.37037037037037035</v>
      </c>
      <c r="O139" s="1">
        <f>IFERROR(VALUE(mlb_payrolls[[#This Row],[Total Payroll Allocations]])/VALUE(mlb_payrolls[[#This Row],[Wins]]),"")</f>
        <v>1596480.3166666667</v>
      </c>
      <c r="P139" s="1">
        <f>SUM(mlb_payrolls[[#This Row],[Active 26-Man]],mlb_payrolls[[#This Row],[Injured]],mlb_payrolls[[#This Row],[Retained]],mlb_payrolls[[#This Row],[Buried]])</f>
        <v>95788819</v>
      </c>
      <c r="Q139" s="1">
        <f>mlb_payrolls[[#This Row],[Total Payroll Allocations]]-mlb_payrolls[[#This Row],[Payroll Parts Sum]]</f>
        <v>0</v>
      </c>
      <c r="R139" s="2">
        <f>IF(mlb_payrolls[[#This Row],[Total Payroll Allocations]]&gt;0, mlb_payrolls[[#This Row],[Active 26-Man]]/mlb_payrolls[[#This Row],[Total Payroll Allocations]],"")</f>
        <v>0.25935210663783215</v>
      </c>
      <c r="S139" s="2">
        <f>IF(mlb_payrolls[[#This Row],[Total Payroll Allocations]]&gt;0,mlb_payrolls[[#This Row],[Injured]]/mlb_payrolls[[#This Row],[Total Payroll Allocations]])</f>
        <v>8.2466566374516007E-2</v>
      </c>
      <c r="T139" s="3">
        <f>IF(mlb_payrolls[[#This Row],[Total Payroll Allocations]]&gt;0,mlb_payrolls[[#This Row],[Retained]]/mlb_payrolls[[#This Row],[Total Payroll Allocations]])</f>
        <v>0.61506865430713786</v>
      </c>
      <c r="U139" s="3">
        <f>IF(mlb_payrolls[[#This Row],[Total Payroll Allocations]]&gt;0,mlb_payrolls[[#This Row],[Buried]]/mlb_payrolls[[#This Row],[Total Payroll Allocations]])</f>
        <v>4.3112672680513997E-2</v>
      </c>
      <c r="V139">
        <f>IF(mlb_payrolls[[#This Row],[Postseason]]="No Playoffs",0,1)</f>
        <v>0</v>
      </c>
    </row>
    <row r="140" spans="1:22" x14ac:dyDescent="0.3">
      <c r="A140" t="s">
        <v>57</v>
      </c>
      <c r="B140" t="s">
        <v>58</v>
      </c>
      <c r="C140">
        <v>2016</v>
      </c>
      <c r="D140">
        <v>26.6</v>
      </c>
      <c r="E140" s="1">
        <v>96019377</v>
      </c>
      <c r="F140" s="1">
        <v>46917344</v>
      </c>
      <c r="G140" s="1">
        <v>8116832</v>
      </c>
      <c r="H140" s="1">
        <v>41248677</v>
      </c>
      <c r="I140" s="1">
        <v>244024</v>
      </c>
      <c r="J140">
        <v>68</v>
      </c>
      <c r="K140">
        <v>93</v>
      </c>
      <c r="L140" t="s">
        <v>14</v>
      </c>
      <c r="M140">
        <f>mlb_payrolls[[#This Row],[Wins]] + mlb_payrolls[[#This Row],[Losses]]</f>
        <v>161</v>
      </c>
      <c r="N140" s="2">
        <f>IF(mlb_payrolls[[#This Row],[Games]] &gt;0, mlb_payrolls[[#This Row],[Wins]]/mlb_payrolls[[#This Row],[Games]], "")</f>
        <v>0.42236024844720499</v>
      </c>
      <c r="O140" s="1">
        <f>IFERROR(VALUE(mlb_payrolls[[#This Row],[Total Payroll Allocations]])/VALUE(mlb_payrolls[[#This Row],[Wins]]),"")</f>
        <v>1412049.6617647058</v>
      </c>
      <c r="P140" s="1">
        <f>SUM(mlb_payrolls[[#This Row],[Active 26-Man]],mlb_payrolls[[#This Row],[Injured]],mlb_payrolls[[#This Row],[Retained]],mlb_payrolls[[#This Row],[Buried]])</f>
        <v>96526877</v>
      </c>
      <c r="Q140" s="1">
        <f>mlb_payrolls[[#This Row],[Total Payroll Allocations]]-mlb_payrolls[[#This Row],[Payroll Parts Sum]]</f>
        <v>-507500</v>
      </c>
      <c r="R140" s="2">
        <f>IF(mlb_payrolls[[#This Row],[Total Payroll Allocations]]&gt;0, mlb_payrolls[[#This Row],[Active 26-Man]]/mlb_payrolls[[#This Row],[Total Payroll Allocations]],"")</f>
        <v>0.48862370769183389</v>
      </c>
      <c r="S140" s="2">
        <f>IF(mlb_payrolls[[#This Row],[Total Payroll Allocations]]&gt;0,mlb_payrolls[[#This Row],[Injured]]/mlb_payrolls[[#This Row],[Total Payroll Allocations]])</f>
        <v>8.4533270820951065E-2</v>
      </c>
      <c r="T140" s="3">
        <f>IF(mlb_payrolls[[#This Row],[Total Payroll Allocations]]&gt;0,mlb_payrolls[[#This Row],[Retained]]/mlb_payrolls[[#This Row],[Total Payroll Allocations]])</f>
        <v>0.4295870092970922</v>
      </c>
      <c r="U140" s="3">
        <f>IF(mlb_payrolls[[#This Row],[Total Payroll Allocations]]&gt;0,mlb_payrolls[[#This Row],[Buried]]/mlb_payrolls[[#This Row],[Total Payroll Allocations]])</f>
        <v>2.5414037002135519E-3</v>
      </c>
      <c r="V140">
        <f>IF(mlb_payrolls[[#This Row],[Postseason]]="No Playoffs",0,1)</f>
        <v>0</v>
      </c>
    </row>
    <row r="141" spans="1:22" x14ac:dyDescent="0.3">
      <c r="A141" t="s">
        <v>29</v>
      </c>
      <c r="B141" t="s">
        <v>30</v>
      </c>
      <c r="C141">
        <v>2017</v>
      </c>
      <c r="D141">
        <v>25.7</v>
      </c>
      <c r="E141" s="1">
        <v>96436003</v>
      </c>
      <c r="F141" s="1">
        <v>64567947</v>
      </c>
      <c r="G141" s="1">
        <v>16021450</v>
      </c>
      <c r="H141" s="1">
        <v>15403006</v>
      </c>
      <c r="I141" s="1">
        <v>443600</v>
      </c>
      <c r="J141">
        <v>68</v>
      </c>
      <c r="K141">
        <v>94</v>
      </c>
      <c r="L141" t="s">
        <v>14</v>
      </c>
      <c r="M141">
        <f>mlb_payrolls[[#This Row],[Wins]] + mlb_payrolls[[#This Row],[Losses]]</f>
        <v>162</v>
      </c>
      <c r="N141" s="2">
        <f>IF(mlb_payrolls[[#This Row],[Games]] &gt;0, mlb_payrolls[[#This Row],[Wins]]/mlb_payrolls[[#This Row],[Games]], "")</f>
        <v>0.41975308641975306</v>
      </c>
      <c r="O141" s="1">
        <f>IFERROR(VALUE(mlb_payrolls[[#This Row],[Total Payroll Allocations]])/VALUE(mlb_payrolls[[#This Row],[Wins]]),"")</f>
        <v>1418176.5147058824</v>
      </c>
      <c r="P141" s="1">
        <f>SUM(mlb_payrolls[[#This Row],[Active 26-Man]],mlb_payrolls[[#This Row],[Injured]],mlb_payrolls[[#This Row],[Retained]],mlb_payrolls[[#This Row],[Buried]])</f>
        <v>96436003</v>
      </c>
      <c r="Q141" s="1">
        <f>mlb_payrolls[[#This Row],[Total Payroll Allocations]]-mlb_payrolls[[#This Row],[Payroll Parts Sum]]</f>
        <v>0</v>
      </c>
      <c r="R141" s="2">
        <f>IF(mlb_payrolls[[#This Row],[Total Payroll Allocations]]&gt;0, mlb_payrolls[[#This Row],[Active 26-Man]]/mlb_payrolls[[#This Row],[Total Payroll Allocations]],"")</f>
        <v>0.66954192408824742</v>
      </c>
      <c r="S141" s="2">
        <f>IF(mlb_payrolls[[#This Row],[Total Payroll Allocations]]&gt;0,mlb_payrolls[[#This Row],[Injured]]/mlb_payrolls[[#This Row],[Total Payroll Allocations]])</f>
        <v>0.16613556660991019</v>
      </c>
      <c r="T141" s="3">
        <f>IF(mlb_payrolls[[#This Row],[Total Payroll Allocations]]&gt;0,mlb_payrolls[[#This Row],[Retained]]/mlb_payrolls[[#This Row],[Total Payroll Allocations]])</f>
        <v>0.15972256751454122</v>
      </c>
      <c r="U141" s="3">
        <f>IF(mlb_payrolls[[#This Row],[Total Payroll Allocations]]&gt;0,mlb_payrolls[[#This Row],[Buried]]/mlb_payrolls[[#This Row],[Total Payroll Allocations]])</f>
        <v>4.5999417873011598E-3</v>
      </c>
      <c r="V141">
        <f>IF(mlb_payrolls[[#This Row],[Postseason]]="No Playoffs",0,1)</f>
        <v>0</v>
      </c>
    </row>
    <row r="142" spans="1:22" x14ac:dyDescent="0.3">
      <c r="A142" t="s">
        <v>35</v>
      </c>
      <c r="B142" t="s">
        <v>36</v>
      </c>
      <c r="C142">
        <v>2024</v>
      </c>
      <c r="D142">
        <v>26.7</v>
      </c>
      <c r="E142" s="1">
        <v>96590305</v>
      </c>
      <c r="F142" s="1">
        <v>11473396</v>
      </c>
      <c r="G142" s="1">
        <v>19701083</v>
      </c>
      <c r="H142" s="1">
        <v>64284585</v>
      </c>
      <c r="I142" s="1">
        <v>4131241</v>
      </c>
      <c r="J142">
        <v>62</v>
      </c>
      <c r="K142">
        <v>100</v>
      </c>
      <c r="L142" t="s">
        <v>14</v>
      </c>
      <c r="M142">
        <f>mlb_payrolls[[#This Row],[Wins]] + mlb_payrolls[[#This Row],[Losses]]</f>
        <v>162</v>
      </c>
      <c r="N142" s="2">
        <f>IF(mlb_payrolls[[#This Row],[Games]] &gt;0, mlb_payrolls[[#This Row],[Wins]]/mlb_payrolls[[#This Row],[Games]], "")</f>
        <v>0.38271604938271603</v>
      </c>
      <c r="O142" s="1">
        <f>IFERROR(VALUE(mlb_payrolls[[#This Row],[Total Payroll Allocations]])/VALUE(mlb_payrolls[[#This Row],[Wins]]),"")</f>
        <v>1557908.1451612904</v>
      </c>
      <c r="P142" s="1">
        <f>SUM(mlb_payrolls[[#This Row],[Active 26-Man]],mlb_payrolls[[#This Row],[Injured]],mlb_payrolls[[#This Row],[Retained]],mlb_payrolls[[#This Row],[Buried]])</f>
        <v>99590305</v>
      </c>
      <c r="Q142" s="1">
        <f>mlb_payrolls[[#This Row],[Total Payroll Allocations]]-mlb_payrolls[[#This Row],[Payroll Parts Sum]]</f>
        <v>-3000000</v>
      </c>
      <c r="R142" s="2">
        <f>IF(mlb_payrolls[[#This Row],[Total Payroll Allocations]]&gt;0, mlb_payrolls[[#This Row],[Active 26-Man]]/mlb_payrolls[[#This Row],[Total Payroll Allocations]],"")</f>
        <v>0.11878413677231892</v>
      </c>
      <c r="S142" s="2">
        <f>IF(mlb_payrolls[[#This Row],[Total Payroll Allocations]]&gt;0,mlb_payrolls[[#This Row],[Injured]]/mlb_payrolls[[#This Row],[Total Payroll Allocations]])</f>
        <v>0.20396542903555381</v>
      </c>
      <c r="T142" s="3">
        <f>IF(mlb_payrolls[[#This Row],[Total Payroll Allocations]]&gt;0,mlb_payrolls[[#This Row],[Retained]]/mlb_payrolls[[#This Row],[Total Payroll Allocations]])</f>
        <v>0.66553868941608585</v>
      </c>
      <c r="U142" s="3">
        <f>IF(mlb_payrolls[[#This Row],[Total Payroll Allocations]]&gt;0,mlb_payrolls[[#This Row],[Buried]]/mlb_payrolls[[#This Row],[Total Payroll Allocations]])</f>
        <v>4.2770762552204383E-2</v>
      </c>
      <c r="V142">
        <f>IF(mlb_payrolls[[#This Row],[Postseason]]="No Playoffs",0,1)</f>
        <v>0</v>
      </c>
    </row>
    <row r="143" spans="1:22" x14ac:dyDescent="0.3">
      <c r="A143" t="s">
        <v>31</v>
      </c>
      <c r="B143" t="s">
        <v>32</v>
      </c>
      <c r="C143">
        <v>2014</v>
      </c>
      <c r="D143">
        <v>28.7</v>
      </c>
      <c r="E143" s="1">
        <v>96603300</v>
      </c>
      <c r="F143" s="1">
        <v>90536848</v>
      </c>
      <c r="G143" s="1">
        <v>0</v>
      </c>
      <c r="H143" s="1">
        <v>4686452</v>
      </c>
      <c r="I143" s="1">
        <v>1380000</v>
      </c>
      <c r="J143">
        <v>89</v>
      </c>
      <c r="K143">
        <v>73</v>
      </c>
      <c r="L143" t="s">
        <v>21</v>
      </c>
      <c r="M143">
        <f>mlb_payrolls[[#This Row],[Wins]] + mlb_payrolls[[#This Row],[Losses]]</f>
        <v>162</v>
      </c>
      <c r="N143" s="2">
        <f>IF(mlb_payrolls[[#This Row],[Games]] &gt;0, mlb_payrolls[[#This Row],[Wins]]/mlb_payrolls[[#This Row],[Games]], "")</f>
        <v>0.54938271604938271</v>
      </c>
      <c r="O143" s="1">
        <f>IFERROR(VALUE(mlb_payrolls[[#This Row],[Total Payroll Allocations]])/VALUE(mlb_payrolls[[#This Row],[Wins]]),"")</f>
        <v>1085430.3370786516</v>
      </c>
      <c r="P143" s="1">
        <f>SUM(mlb_payrolls[[#This Row],[Active 26-Man]],mlb_payrolls[[#This Row],[Injured]],mlb_payrolls[[#This Row],[Retained]],mlb_payrolls[[#This Row],[Buried]])</f>
        <v>96603300</v>
      </c>
      <c r="Q143" s="1">
        <f>mlb_payrolls[[#This Row],[Total Payroll Allocations]]-mlb_payrolls[[#This Row],[Payroll Parts Sum]]</f>
        <v>0</v>
      </c>
      <c r="R143" s="2">
        <f>IF(mlb_payrolls[[#This Row],[Total Payroll Allocations]]&gt;0, mlb_payrolls[[#This Row],[Active 26-Man]]/mlb_payrolls[[#This Row],[Total Payroll Allocations]],"")</f>
        <v>0.93720243511350021</v>
      </c>
      <c r="S143" s="2">
        <f>IF(mlb_payrolls[[#This Row],[Total Payroll Allocations]]&gt;0,mlb_payrolls[[#This Row],[Injured]]/mlb_payrolls[[#This Row],[Total Payroll Allocations]])</f>
        <v>0</v>
      </c>
      <c r="T143" s="3">
        <f>IF(mlb_payrolls[[#This Row],[Total Payroll Allocations]]&gt;0,mlb_payrolls[[#This Row],[Retained]]/mlb_payrolls[[#This Row],[Total Payroll Allocations]])</f>
        <v>4.851233860540996E-2</v>
      </c>
      <c r="U143" s="3">
        <f>IF(mlb_payrolls[[#This Row],[Total Payroll Allocations]]&gt;0,mlb_payrolls[[#This Row],[Buried]]/mlb_payrolls[[#This Row],[Total Payroll Allocations]])</f>
        <v>1.4285226281089776E-2</v>
      </c>
      <c r="V143">
        <f>IF(mlb_payrolls[[#This Row],[Postseason]]="No Playoffs",0,1)</f>
        <v>1</v>
      </c>
    </row>
    <row r="144" spans="1:22" x14ac:dyDescent="0.3">
      <c r="A144" t="s">
        <v>49</v>
      </c>
      <c r="B144" t="s">
        <v>50</v>
      </c>
      <c r="C144">
        <v>2014</v>
      </c>
      <c r="D144">
        <v>27.8</v>
      </c>
      <c r="E144" s="1">
        <v>96772365</v>
      </c>
      <c r="F144" s="1">
        <v>96456583</v>
      </c>
      <c r="G144" s="1">
        <v>0</v>
      </c>
      <c r="H144" s="1">
        <v>202995</v>
      </c>
      <c r="I144" s="1">
        <v>112787</v>
      </c>
      <c r="J144">
        <v>66</v>
      </c>
      <c r="K144">
        <v>96</v>
      </c>
      <c r="L144" t="s">
        <v>14</v>
      </c>
      <c r="M144">
        <f>mlb_payrolls[[#This Row],[Wins]] + mlb_payrolls[[#This Row],[Losses]]</f>
        <v>162</v>
      </c>
      <c r="N144" s="2">
        <f>IF(mlb_payrolls[[#This Row],[Games]] &gt;0, mlb_payrolls[[#This Row],[Wins]]/mlb_payrolls[[#This Row],[Games]], "")</f>
        <v>0.40740740740740738</v>
      </c>
      <c r="O144" s="1">
        <f>IFERROR(VALUE(mlb_payrolls[[#This Row],[Total Payroll Allocations]])/VALUE(mlb_payrolls[[#This Row],[Wins]]),"")</f>
        <v>1466247.9545454546</v>
      </c>
      <c r="P144" s="1">
        <f>SUM(mlb_payrolls[[#This Row],[Active 26-Man]],mlb_payrolls[[#This Row],[Injured]],mlb_payrolls[[#This Row],[Retained]],mlb_payrolls[[#This Row],[Buried]])</f>
        <v>96772365</v>
      </c>
      <c r="Q144" s="1">
        <f>mlb_payrolls[[#This Row],[Total Payroll Allocations]]-mlb_payrolls[[#This Row],[Payroll Parts Sum]]</f>
        <v>0</v>
      </c>
      <c r="R144" s="2">
        <f>IF(mlb_payrolls[[#This Row],[Total Payroll Allocations]]&gt;0, mlb_payrolls[[#This Row],[Active 26-Man]]/mlb_payrolls[[#This Row],[Total Payroll Allocations]],"")</f>
        <v>0.99673685767625908</v>
      </c>
      <c r="S144" s="2">
        <f>IF(mlb_payrolls[[#This Row],[Total Payroll Allocations]]&gt;0,mlb_payrolls[[#This Row],[Injured]]/mlb_payrolls[[#This Row],[Total Payroll Allocations]])</f>
        <v>0</v>
      </c>
      <c r="T144" s="3">
        <f>IF(mlb_payrolls[[#This Row],[Total Payroll Allocations]]&gt;0,mlb_payrolls[[#This Row],[Retained]]/mlb_payrolls[[#This Row],[Total Payroll Allocations]])</f>
        <v>2.0976546351843318E-3</v>
      </c>
      <c r="U144" s="3">
        <f>IF(mlb_payrolls[[#This Row],[Total Payroll Allocations]]&gt;0,mlb_payrolls[[#This Row],[Buried]]/mlb_payrolls[[#This Row],[Total Payroll Allocations]])</f>
        <v>1.1654876885565419E-3</v>
      </c>
      <c r="V144">
        <f>IF(mlb_payrolls[[#This Row],[Postseason]]="No Playoffs",0,1)</f>
        <v>0</v>
      </c>
    </row>
    <row r="145" spans="1:22" x14ac:dyDescent="0.3">
      <c r="A145" t="s">
        <v>19</v>
      </c>
      <c r="B145" t="s">
        <v>20</v>
      </c>
      <c r="C145">
        <v>2024</v>
      </c>
      <c r="D145">
        <v>26</v>
      </c>
      <c r="E145" s="1">
        <v>96961614</v>
      </c>
      <c r="F145" s="1">
        <v>33226992</v>
      </c>
      <c r="G145" s="1">
        <v>26677166</v>
      </c>
      <c r="H145" s="1">
        <v>36920494</v>
      </c>
      <c r="I145" s="1">
        <v>1070295</v>
      </c>
      <c r="J145">
        <v>86</v>
      </c>
      <c r="K145">
        <v>76</v>
      </c>
      <c r="L145" t="s">
        <v>21</v>
      </c>
      <c r="M145">
        <f>mlb_payrolls[[#This Row],[Wins]] + mlb_payrolls[[#This Row],[Losses]]</f>
        <v>162</v>
      </c>
      <c r="N145" s="2">
        <f>IF(mlb_payrolls[[#This Row],[Games]] &gt;0, mlb_payrolls[[#This Row],[Wins]]/mlb_payrolls[[#This Row],[Games]], "")</f>
        <v>0.53086419753086422</v>
      </c>
      <c r="O145" s="1">
        <f>IFERROR(VALUE(mlb_payrolls[[#This Row],[Total Payroll Allocations]])/VALUE(mlb_payrolls[[#This Row],[Wins]]),"")</f>
        <v>1127460.6279069767</v>
      </c>
      <c r="P145" s="1">
        <f>SUM(mlb_payrolls[[#This Row],[Active 26-Man]],mlb_payrolls[[#This Row],[Injured]],mlb_payrolls[[#This Row],[Retained]],mlb_payrolls[[#This Row],[Buried]])</f>
        <v>97894947</v>
      </c>
      <c r="Q145" s="1">
        <f>mlb_payrolls[[#This Row],[Total Payroll Allocations]]-mlb_payrolls[[#This Row],[Payroll Parts Sum]]</f>
        <v>-933333</v>
      </c>
      <c r="R145" s="2">
        <f>IF(mlb_payrolls[[#This Row],[Total Payroll Allocations]]&gt;0, mlb_payrolls[[#This Row],[Active 26-Man]]/mlb_payrolls[[#This Row],[Total Payroll Allocations]],"")</f>
        <v>0.34268191946557325</v>
      </c>
      <c r="S145" s="2">
        <f>IF(mlb_payrolls[[#This Row],[Total Payroll Allocations]]&gt;0,mlb_payrolls[[#This Row],[Injured]]/mlb_payrolls[[#This Row],[Total Payroll Allocations]])</f>
        <v>0.27513120810880892</v>
      </c>
      <c r="T145" s="3">
        <f>IF(mlb_payrolls[[#This Row],[Total Payroll Allocations]]&gt;0,mlb_payrolls[[#This Row],[Retained]]/mlb_payrolls[[#This Row],[Total Payroll Allocations]])</f>
        <v>0.38077433405759931</v>
      </c>
      <c r="U145" s="3">
        <f>IF(mlb_payrolls[[#This Row],[Total Payroll Allocations]]&gt;0,mlb_payrolls[[#This Row],[Buried]]/mlb_payrolls[[#This Row],[Total Payroll Allocations]])</f>
        <v>1.1038337295004187E-2</v>
      </c>
      <c r="V145">
        <f>IF(mlb_payrolls[[#This Row],[Postseason]]="No Playoffs",0,1)</f>
        <v>1</v>
      </c>
    </row>
    <row r="146" spans="1:22" x14ac:dyDescent="0.3">
      <c r="A146" t="s">
        <v>17</v>
      </c>
      <c r="B146" t="s">
        <v>18</v>
      </c>
      <c r="C146">
        <v>2022</v>
      </c>
      <c r="D146">
        <v>27.9</v>
      </c>
      <c r="E146" s="1">
        <v>97167073</v>
      </c>
      <c r="F146" s="1">
        <v>50869016</v>
      </c>
      <c r="G146" s="1">
        <v>33372433</v>
      </c>
      <c r="H146" s="1">
        <v>11455026</v>
      </c>
      <c r="I146" s="1">
        <v>1470598</v>
      </c>
      <c r="J146">
        <v>86</v>
      </c>
      <c r="K146">
        <v>76</v>
      </c>
      <c r="L146" t="s">
        <v>21</v>
      </c>
      <c r="M146">
        <f>mlb_payrolls[[#This Row],[Wins]] + mlb_payrolls[[#This Row],[Losses]]</f>
        <v>162</v>
      </c>
      <c r="N146" s="2">
        <f>IF(mlb_payrolls[[#This Row],[Games]] &gt;0, mlb_payrolls[[#This Row],[Wins]]/mlb_payrolls[[#This Row],[Games]], "")</f>
        <v>0.53086419753086422</v>
      </c>
      <c r="O146" s="1">
        <f>IFERROR(VALUE(mlb_payrolls[[#This Row],[Total Payroll Allocations]])/VALUE(mlb_payrolls[[#This Row],[Wins]]),"")</f>
        <v>1129849.6860465116</v>
      </c>
      <c r="P146" s="1">
        <f>SUM(mlb_payrolls[[#This Row],[Active 26-Man]],mlb_payrolls[[#This Row],[Injured]],mlb_payrolls[[#This Row],[Retained]],mlb_payrolls[[#This Row],[Buried]])</f>
        <v>97167073</v>
      </c>
      <c r="Q146" s="1">
        <f>mlb_payrolls[[#This Row],[Total Payroll Allocations]]-mlb_payrolls[[#This Row],[Payroll Parts Sum]]</f>
        <v>0</v>
      </c>
      <c r="R146" s="2">
        <f>IF(mlb_payrolls[[#This Row],[Total Payroll Allocations]]&gt;0, mlb_payrolls[[#This Row],[Active 26-Man]]/mlb_payrolls[[#This Row],[Total Payroll Allocations]],"")</f>
        <v>0.52352113148453072</v>
      </c>
      <c r="S146" s="2">
        <f>IF(mlb_payrolls[[#This Row],[Total Payroll Allocations]]&gt;0,mlb_payrolls[[#This Row],[Injured]]/mlb_payrolls[[#This Row],[Total Payroll Allocations]])</f>
        <v>0.34345413492078741</v>
      </c>
      <c r="T146" s="3">
        <f>IF(mlb_payrolls[[#This Row],[Total Payroll Allocations]]&gt;0,mlb_payrolls[[#This Row],[Retained]]/mlb_payrolls[[#This Row],[Total Payroll Allocations]])</f>
        <v>0.11788999757150244</v>
      </c>
      <c r="U146" s="3">
        <f>IF(mlb_payrolls[[#This Row],[Total Payroll Allocations]]&gt;0,mlb_payrolls[[#This Row],[Buried]]/mlb_payrolls[[#This Row],[Total Payroll Allocations]])</f>
        <v>1.5134736023179374E-2</v>
      </c>
      <c r="V146">
        <f>IF(mlb_payrolls[[#This Row],[Postseason]]="No Playoffs",0,1)</f>
        <v>1</v>
      </c>
    </row>
    <row r="147" spans="1:22" x14ac:dyDescent="0.3">
      <c r="A147" t="s">
        <v>37</v>
      </c>
      <c r="B147" t="s">
        <v>38</v>
      </c>
      <c r="C147">
        <v>2016</v>
      </c>
      <c r="D147">
        <v>27</v>
      </c>
      <c r="E147" s="1">
        <v>97244457</v>
      </c>
      <c r="F147" s="1">
        <v>66477950</v>
      </c>
      <c r="G147" s="1">
        <v>24241532</v>
      </c>
      <c r="H147" s="1">
        <v>3663294</v>
      </c>
      <c r="I147" s="1">
        <v>2861681</v>
      </c>
      <c r="J147">
        <v>59</v>
      </c>
      <c r="K147">
        <v>103</v>
      </c>
      <c r="L147" t="s">
        <v>14</v>
      </c>
      <c r="M147">
        <f>mlb_payrolls[[#This Row],[Wins]] + mlb_payrolls[[#This Row],[Losses]]</f>
        <v>162</v>
      </c>
      <c r="N147" s="2">
        <f>IF(mlb_payrolls[[#This Row],[Games]] &gt;0, mlb_payrolls[[#This Row],[Wins]]/mlb_payrolls[[#This Row],[Games]], "")</f>
        <v>0.36419753086419754</v>
      </c>
      <c r="O147" s="1">
        <f>IFERROR(VALUE(mlb_payrolls[[#This Row],[Total Payroll Allocations]])/VALUE(mlb_payrolls[[#This Row],[Wins]]),"")</f>
        <v>1648211.1355932204</v>
      </c>
      <c r="P147" s="1">
        <f>SUM(mlb_payrolls[[#This Row],[Active 26-Man]],mlb_payrolls[[#This Row],[Injured]],mlb_payrolls[[#This Row],[Retained]],mlb_payrolls[[#This Row],[Buried]])</f>
        <v>97244457</v>
      </c>
      <c r="Q147" s="1">
        <f>mlb_payrolls[[#This Row],[Total Payroll Allocations]]-mlb_payrolls[[#This Row],[Payroll Parts Sum]]</f>
        <v>0</v>
      </c>
      <c r="R147" s="2">
        <f>IF(mlb_payrolls[[#This Row],[Total Payroll Allocations]]&gt;0, mlb_payrolls[[#This Row],[Active 26-Man]]/mlb_payrolls[[#This Row],[Total Payroll Allocations]],"")</f>
        <v>0.68361685643429526</v>
      </c>
      <c r="S147" s="2">
        <f>IF(mlb_payrolls[[#This Row],[Total Payroll Allocations]]&gt;0,mlb_payrolls[[#This Row],[Injured]]/mlb_payrolls[[#This Row],[Total Payroll Allocations]])</f>
        <v>0.24928446050143505</v>
      </c>
      <c r="T147" s="3">
        <f>IF(mlb_payrolls[[#This Row],[Total Payroll Allocations]]&gt;0,mlb_payrolls[[#This Row],[Retained]]/mlb_payrolls[[#This Row],[Total Payroll Allocations]])</f>
        <v>3.7670980053906823E-2</v>
      </c>
      <c r="U147" s="3">
        <f>IF(mlb_payrolls[[#This Row],[Total Payroll Allocations]]&gt;0,mlb_payrolls[[#This Row],[Buried]]/mlb_payrolls[[#This Row],[Total Payroll Allocations]])</f>
        <v>2.9427703010362842E-2</v>
      </c>
      <c r="V147">
        <f>IF(mlb_payrolls[[#This Row],[Postseason]]="No Playoffs",0,1)</f>
        <v>0</v>
      </c>
    </row>
    <row r="148" spans="1:22" x14ac:dyDescent="0.3">
      <c r="A148" t="s">
        <v>43</v>
      </c>
      <c r="B148" t="s">
        <v>44</v>
      </c>
      <c r="C148">
        <v>2016</v>
      </c>
      <c r="D148">
        <v>26</v>
      </c>
      <c r="E148" s="1">
        <v>97874482</v>
      </c>
      <c r="F148" s="1">
        <v>78823003</v>
      </c>
      <c r="G148" s="1">
        <v>1051200</v>
      </c>
      <c r="H148" s="1">
        <v>17455091</v>
      </c>
      <c r="I148" s="1">
        <v>545188</v>
      </c>
      <c r="J148">
        <v>69</v>
      </c>
      <c r="K148">
        <v>93</v>
      </c>
      <c r="L148" t="s">
        <v>14</v>
      </c>
      <c r="M148">
        <f>mlb_payrolls[[#This Row],[Wins]] + mlb_payrolls[[#This Row],[Losses]]</f>
        <v>162</v>
      </c>
      <c r="N148" s="2">
        <f>IF(mlb_payrolls[[#This Row],[Games]] &gt;0, mlb_payrolls[[#This Row],[Wins]]/mlb_payrolls[[#This Row],[Games]], "")</f>
        <v>0.42592592592592593</v>
      </c>
      <c r="O148" s="1">
        <f>IFERROR(VALUE(mlb_payrolls[[#This Row],[Total Payroll Allocations]])/VALUE(mlb_payrolls[[#This Row],[Wins]]),"")</f>
        <v>1418470.7536231885</v>
      </c>
      <c r="P148" s="1">
        <f>SUM(mlb_payrolls[[#This Row],[Active 26-Man]],mlb_payrolls[[#This Row],[Injured]],mlb_payrolls[[#This Row],[Retained]],mlb_payrolls[[#This Row],[Buried]])</f>
        <v>97874482</v>
      </c>
      <c r="Q148" s="1">
        <f>mlb_payrolls[[#This Row],[Total Payroll Allocations]]-mlb_payrolls[[#This Row],[Payroll Parts Sum]]</f>
        <v>0</v>
      </c>
      <c r="R148" s="2">
        <f>IF(mlb_payrolls[[#This Row],[Total Payroll Allocations]]&gt;0, mlb_payrolls[[#This Row],[Active 26-Man]]/mlb_payrolls[[#This Row],[Total Payroll Allocations]],"")</f>
        <v>0.80534784337351584</v>
      </c>
      <c r="S148" s="2">
        <f>IF(mlb_payrolls[[#This Row],[Total Payroll Allocations]]&gt;0,mlb_payrolls[[#This Row],[Injured]]/mlb_payrolls[[#This Row],[Total Payroll Allocations]])</f>
        <v>1.0740286727647765E-2</v>
      </c>
      <c r="T148" s="3">
        <f>IF(mlb_payrolls[[#This Row],[Total Payroll Allocations]]&gt;0,mlb_payrolls[[#This Row],[Retained]]/mlb_payrolls[[#This Row],[Total Payroll Allocations]])</f>
        <v>0.17834159265333327</v>
      </c>
      <c r="U148" s="3">
        <f>IF(mlb_payrolls[[#This Row],[Total Payroll Allocations]]&gt;0,mlb_payrolls[[#This Row],[Buried]]/mlb_payrolls[[#This Row],[Total Payroll Allocations]])</f>
        <v>5.5702772455030721E-3</v>
      </c>
      <c r="V148">
        <f>IF(mlb_payrolls[[#This Row],[Postseason]]="No Playoffs",0,1)</f>
        <v>0</v>
      </c>
    </row>
    <row r="149" spans="1:22" x14ac:dyDescent="0.3">
      <c r="A149" t="s">
        <v>57</v>
      </c>
      <c r="B149" t="s">
        <v>58</v>
      </c>
      <c r="C149">
        <v>2012</v>
      </c>
      <c r="D149">
        <v>28.4</v>
      </c>
      <c r="E149" s="1">
        <v>97928056</v>
      </c>
      <c r="F149" s="1">
        <v>86492616</v>
      </c>
      <c r="G149" s="1">
        <v>0</v>
      </c>
      <c r="H149" s="1">
        <v>11435440</v>
      </c>
      <c r="I149" s="1">
        <v>0</v>
      </c>
      <c r="J149">
        <v>94</v>
      </c>
      <c r="K149">
        <v>68</v>
      </c>
      <c r="L149" t="s">
        <v>21</v>
      </c>
      <c r="M149">
        <f>mlb_payrolls[[#This Row],[Wins]] + mlb_payrolls[[#This Row],[Losses]]</f>
        <v>162</v>
      </c>
      <c r="N149" s="2">
        <f>IF(mlb_payrolls[[#This Row],[Games]] &gt;0, mlb_payrolls[[#This Row],[Wins]]/mlb_payrolls[[#This Row],[Games]], "")</f>
        <v>0.58024691358024694</v>
      </c>
      <c r="O149" s="1">
        <f>IFERROR(VALUE(mlb_payrolls[[#This Row],[Total Payroll Allocations]])/VALUE(mlb_payrolls[[#This Row],[Wins]]),"")</f>
        <v>1041787.8297872341</v>
      </c>
      <c r="P149" s="1">
        <f>SUM(mlb_payrolls[[#This Row],[Active 26-Man]],mlb_payrolls[[#This Row],[Injured]],mlb_payrolls[[#This Row],[Retained]],mlb_payrolls[[#This Row],[Buried]])</f>
        <v>97928056</v>
      </c>
      <c r="Q149" s="1">
        <f>mlb_payrolls[[#This Row],[Total Payroll Allocations]]-mlb_payrolls[[#This Row],[Payroll Parts Sum]]</f>
        <v>0</v>
      </c>
      <c r="R149" s="2">
        <f>IF(mlb_payrolls[[#This Row],[Total Payroll Allocations]]&gt;0, mlb_payrolls[[#This Row],[Active 26-Man]]/mlb_payrolls[[#This Row],[Total Payroll Allocations]],"")</f>
        <v>0.8832261104008845</v>
      </c>
      <c r="S149" s="2">
        <f>IF(mlb_payrolls[[#This Row],[Total Payroll Allocations]]&gt;0,mlb_payrolls[[#This Row],[Injured]]/mlb_payrolls[[#This Row],[Total Payroll Allocations]])</f>
        <v>0</v>
      </c>
      <c r="T149" s="3">
        <f>IF(mlb_payrolls[[#This Row],[Total Payroll Allocations]]&gt;0,mlb_payrolls[[#This Row],[Retained]]/mlb_payrolls[[#This Row],[Total Payroll Allocations]])</f>
        <v>0.1167738895991155</v>
      </c>
      <c r="U149" s="3">
        <f>IF(mlb_payrolls[[#This Row],[Total Payroll Allocations]]&gt;0,mlb_payrolls[[#This Row],[Buried]]/mlb_payrolls[[#This Row],[Total Payroll Allocations]])</f>
        <v>0</v>
      </c>
      <c r="V149">
        <f>IF(mlb_payrolls[[#This Row],[Postseason]]="No Playoffs",0,1)</f>
        <v>1</v>
      </c>
    </row>
    <row r="150" spans="1:22" x14ac:dyDescent="0.3">
      <c r="A150" t="s">
        <v>33</v>
      </c>
      <c r="B150" t="s">
        <v>34</v>
      </c>
      <c r="C150">
        <v>2012</v>
      </c>
      <c r="D150">
        <v>27.2</v>
      </c>
      <c r="E150" s="1">
        <v>98044359</v>
      </c>
      <c r="F150" s="1">
        <v>95623594</v>
      </c>
      <c r="G150" s="1">
        <v>0</v>
      </c>
      <c r="H150" s="1">
        <v>420765</v>
      </c>
      <c r="I150" s="1">
        <v>2000000</v>
      </c>
      <c r="J150">
        <v>98</v>
      </c>
      <c r="K150">
        <v>64</v>
      </c>
      <c r="L150" t="s">
        <v>24</v>
      </c>
      <c r="M150">
        <f>mlb_payrolls[[#This Row],[Wins]] + mlb_payrolls[[#This Row],[Losses]]</f>
        <v>162</v>
      </c>
      <c r="N150" s="2">
        <f>IF(mlb_payrolls[[#This Row],[Games]] &gt;0, mlb_payrolls[[#This Row],[Wins]]/mlb_payrolls[[#This Row],[Games]], "")</f>
        <v>0.60493827160493829</v>
      </c>
      <c r="O150" s="1">
        <f>IFERROR(VALUE(mlb_payrolls[[#This Row],[Total Payroll Allocations]])/VALUE(mlb_payrolls[[#This Row],[Wins]]),"")</f>
        <v>1000452.6428571428</v>
      </c>
      <c r="P150" s="1">
        <f>SUM(mlb_payrolls[[#This Row],[Active 26-Man]],mlb_payrolls[[#This Row],[Injured]],mlb_payrolls[[#This Row],[Retained]],mlb_payrolls[[#This Row],[Buried]])</f>
        <v>98044359</v>
      </c>
      <c r="Q150" s="1">
        <f>mlb_payrolls[[#This Row],[Total Payroll Allocations]]-mlb_payrolls[[#This Row],[Payroll Parts Sum]]</f>
        <v>0</v>
      </c>
      <c r="R150" s="2">
        <f>IF(mlb_payrolls[[#This Row],[Total Payroll Allocations]]&gt;0, mlb_payrolls[[#This Row],[Active 26-Man]]/mlb_payrolls[[#This Row],[Total Payroll Allocations]],"")</f>
        <v>0.97530949230847641</v>
      </c>
      <c r="S150" s="2">
        <f>IF(mlb_payrolls[[#This Row],[Total Payroll Allocations]]&gt;0,mlb_payrolls[[#This Row],[Injured]]/mlb_payrolls[[#This Row],[Total Payroll Allocations]])</f>
        <v>0</v>
      </c>
      <c r="T150" s="3">
        <f>IF(mlb_payrolls[[#This Row],[Total Payroll Allocations]]&gt;0,mlb_payrolls[[#This Row],[Retained]]/mlb_payrolls[[#This Row],[Total Payroll Allocations]])</f>
        <v>4.2915778561008287E-3</v>
      </c>
      <c r="U150" s="3">
        <f>IF(mlb_payrolls[[#This Row],[Total Payroll Allocations]]&gt;0,mlb_payrolls[[#This Row],[Buried]]/mlb_payrolls[[#This Row],[Total Payroll Allocations]])</f>
        <v>2.0398929835422758E-2</v>
      </c>
      <c r="V150">
        <f>IF(mlb_payrolls[[#This Row],[Postseason]]="No Playoffs",0,1)</f>
        <v>1</v>
      </c>
    </row>
    <row r="151" spans="1:22" x14ac:dyDescent="0.3">
      <c r="A151" t="s">
        <v>35</v>
      </c>
      <c r="B151" t="s">
        <v>36</v>
      </c>
      <c r="C151">
        <v>2012</v>
      </c>
      <c r="D151">
        <v>27.3</v>
      </c>
      <c r="E151" s="1">
        <v>98120191</v>
      </c>
      <c r="F151" s="1">
        <v>80745905</v>
      </c>
      <c r="G151" s="1">
        <v>0</v>
      </c>
      <c r="H151" s="1">
        <v>17249970</v>
      </c>
      <c r="I151" s="1">
        <v>124316</v>
      </c>
      <c r="J151">
        <v>69</v>
      </c>
      <c r="K151">
        <v>93</v>
      </c>
      <c r="L151" t="s">
        <v>14</v>
      </c>
      <c r="M151">
        <f>mlb_payrolls[[#This Row],[Wins]] + mlb_payrolls[[#This Row],[Losses]]</f>
        <v>162</v>
      </c>
      <c r="N151" s="2">
        <f>IF(mlb_payrolls[[#This Row],[Games]] &gt;0, mlb_payrolls[[#This Row],[Wins]]/mlb_payrolls[[#This Row],[Games]], "")</f>
        <v>0.42592592592592593</v>
      </c>
      <c r="O151" s="1">
        <f>IFERROR(VALUE(mlb_payrolls[[#This Row],[Total Payroll Allocations]])/VALUE(mlb_payrolls[[#This Row],[Wins]]),"")</f>
        <v>1422031.7536231885</v>
      </c>
      <c r="P151" s="1">
        <f>SUM(mlb_payrolls[[#This Row],[Active 26-Man]],mlb_payrolls[[#This Row],[Injured]],mlb_payrolls[[#This Row],[Retained]],mlb_payrolls[[#This Row],[Buried]])</f>
        <v>98120191</v>
      </c>
      <c r="Q151" s="1">
        <f>mlb_payrolls[[#This Row],[Total Payroll Allocations]]-mlb_payrolls[[#This Row],[Payroll Parts Sum]]</f>
        <v>0</v>
      </c>
      <c r="R151" s="2">
        <f>IF(mlb_payrolls[[#This Row],[Total Payroll Allocations]]&gt;0, mlb_payrolls[[#This Row],[Active 26-Man]]/mlb_payrolls[[#This Row],[Total Payroll Allocations]],"")</f>
        <v>0.82292853465807048</v>
      </c>
      <c r="S151" s="2">
        <f>IF(mlb_payrolls[[#This Row],[Total Payroll Allocations]]&gt;0,mlb_payrolls[[#This Row],[Injured]]/mlb_payrolls[[#This Row],[Total Payroll Allocations]])</f>
        <v>0</v>
      </c>
      <c r="T151" s="3">
        <f>IF(mlb_payrolls[[#This Row],[Total Payroll Allocations]]&gt;0,mlb_payrolls[[#This Row],[Retained]]/mlb_payrolls[[#This Row],[Total Payroll Allocations]])</f>
        <v>0.17580448859908965</v>
      </c>
      <c r="U151" s="3">
        <f>IF(mlb_payrolls[[#This Row],[Total Payroll Allocations]]&gt;0,mlb_payrolls[[#This Row],[Buried]]/mlb_payrolls[[#This Row],[Total Payroll Allocations]])</f>
        <v>1.2669767428398096E-3</v>
      </c>
      <c r="V151">
        <f>IF(mlb_payrolls[[#This Row],[Postseason]]="No Playoffs",0,1)</f>
        <v>0</v>
      </c>
    </row>
    <row r="152" spans="1:22" x14ac:dyDescent="0.3">
      <c r="A152" t="s">
        <v>12</v>
      </c>
      <c r="B152" t="s">
        <v>13</v>
      </c>
      <c r="C152">
        <v>2019</v>
      </c>
      <c r="D152">
        <v>28.5</v>
      </c>
      <c r="E152" s="1">
        <v>98644531</v>
      </c>
      <c r="F152" s="1">
        <v>83509128</v>
      </c>
      <c r="G152" s="1">
        <v>622664</v>
      </c>
      <c r="H152" s="1">
        <v>13870505</v>
      </c>
      <c r="I152" s="1">
        <v>642234</v>
      </c>
      <c r="J152">
        <v>97</v>
      </c>
      <c r="K152">
        <v>65</v>
      </c>
      <c r="L152" t="s">
        <v>21</v>
      </c>
      <c r="M152">
        <f>mlb_payrolls[[#This Row],[Wins]] + mlb_payrolls[[#This Row],[Losses]]</f>
        <v>162</v>
      </c>
      <c r="N152" s="2">
        <f>IF(mlb_payrolls[[#This Row],[Games]] &gt;0, mlb_payrolls[[#This Row],[Wins]]/mlb_payrolls[[#This Row],[Games]], "")</f>
        <v>0.59876543209876543</v>
      </c>
      <c r="O152" s="1">
        <f>IFERROR(VALUE(mlb_payrolls[[#This Row],[Total Payroll Allocations]])/VALUE(mlb_payrolls[[#This Row],[Wins]]),"")</f>
        <v>1016953.9278350516</v>
      </c>
      <c r="P152" s="1">
        <f>SUM(mlb_payrolls[[#This Row],[Active 26-Man]],mlb_payrolls[[#This Row],[Injured]],mlb_payrolls[[#This Row],[Retained]],mlb_payrolls[[#This Row],[Buried]])</f>
        <v>98644531</v>
      </c>
      <c r="Q152" s="1">
        <f>mlb_payrolls[[#This Row],[Total Payroll Allocations]]-mlb_payrolls[[#This Row],[Payroll Parts Sum]]</f>
        <v>0</v>
      </c>
      <c r="R152" s="2">
        <f>IF(mlb_payrolls[[#This Row],[Total Payroll Allocations]]&gt;0, mlb_payrolls[[#This Row],[Active 26-Man]]/mlb_payrolls[[#This Row],[Total Payroll Allocations]],"")</f>
        <v>0.84656622271335047</v>
      </c>
      <c r="S152" s="2">
        <f>IF(mlb_payrolls[[#This Row],[Total Payroll Allocations]]&gt;0,mlb_payrolls[[#This Row],[Injured]]/mlb_payrolls[[#This Row],[Total Payroll Allocations]])</f>
        <v>6.3121999130392745E-3</v>
      </c>
      <c r="T152" s="3">
        <f>IF(mlb_payrolls[[#This Row],[Total Payroll Allocations]]&gt;0,mlb_payrolls[[#This Row],[Retained]]/mlb_payrolls[[#This Row],[Total Payroll Allocations]])</f>
        <v>0.14061098835778335</v>
      </c>
      <c r="U152" s="3">
        <f>IF(mlb_payrolls[[#This Row],[Total Payroll Allocations]]&gt;0,mlb_payrolls[[#This Row],[Buried]]/mlb_payrolls[[#This Row],[Total Payroll Allocations]])</f>
        <v>6.5105890158269394E-3</v>
      </c>
      <c r="V152">
        <f>IF(mlb_payrolls[[#This Row],[Postseason]]="No Playoffs",0,1)</f>
        <v>1</v>
      </c>
    </row>
    <row r="153" spans="1:22" x14ac:dyDescent="0.3">
      <c r="A153" t="s">
        <v>57</v>
      </c>
      <c r="B153" t="s">
        <v>58</v>
      </c>
      <c r="C153">
        <v>2011</v>
      </c>
      <c r="D153">
        <v>28.7</v>
      </c>
      <c r="E153" s="1">
        <v>98696230</v>
      </c>
      <c r="F153" s="1">
        <v>98521630</v>
      </c>
      <c r="G153" s="1">
        <v>0</v>
      </c>
      <c r="H153" s="1">
        <v>174600</v>
      </c>
      <c r="I153" s="1">
        <v>0</v>
      </c>
      <c r="J153">
        <v>89</v>
      </c>
      <c r="K153">
        <v>73</v>
      </c>
      <c r="L153" t="s">
        <v>14</v>
      </c>
      <c r="M153">
        <f>mlb_payrolls[[#This Row],[Wins]] + mlb_payrolls[[#This Row],[Losses]]</f>
        <v>162</v>
      </c>
      <c r="N153" s="2">
        <f>IF(mlb_payrolls[[#This Row],[Games]] &gt;0, mlb_payrolls[[#This Row],[Wins]]/mlb_payrolls[[#This Row],[Games]], "")</f>
        <v>0.54938271604938271</v>
      </c>
      <c r="O153" s="1">
        <f>IFERROR(VALUE(mlb_payrolls[[#This Row],[Total Payroll Allocations]])/VALUE(mlb_payrolls[[#This Row],[Wins]]),"")</f>
        <v>1108946.404494382</v>
      </c>
      <c r="P153" s="1">
        <f>SUM(mlb_payrolls[[#This Row],[Active 26-Man]],mlb_payrolls[[#This Row],[Injured]],mlb_payrolls[[#This Row],[Retained]],mlb_payrolls[[#This Row],[Buried]])</f>
        <v>98696230</v>
      </c>
      <c r="Q153" s="1">
        <f>mlb_payrolls[[#This Row],[Total Payroll Allocations]]-mlb_payrolls[[#This Row],[Payroll Parts Sum]]</f>
        <v>0</v>
      </c>
      <c r="R153" s="2">
        <f>IF(mlb_payrolls[[#This Row],[Total Payroll Allocations]]&gt;0, mlb_payrolls[[#This Row],[Active 26-Man]]/mlb_payrolls[[#This Row],[Total Payroll Allocations]],"")</f>
        <v>0.99823093546734254</v>
      </c>
      <c r="S153" s="2">
        <f>IF(mlb_payrolls[[#This Row],[Total Payroll Allocations]]&gt;0,mlb_payrolls[[#This Row],[Injured]]/mlb_payrolls[[#This Row],[Total Payroll Allocations]])</f>
        <v>0</v>
      </c>
      <c r="T153" s="3">
        <f>IF(mlb_payrolls[[#This Row],[Total Payroll Allocations]]&gt;0,mlb_payrolls[[#This Row],[Retained]]/mlb_payrolls[[#This Row],[Total Payroll Allocations]])</f>
        <v>1.7690645326574278E-3</v>
      </c>
      <c r="U153" s="3">
        <f>IF(mlb_payrolls[[#This Row],[Total Payroll Allocations]]&gt;0,mlb_payrolls[[#This Row],[Buried]]/mlb_payrolls[[#This Row],[Total Payroll Allocations]])</f>
        <v>0</v>
      </c>
      <c r="V153">
        <f>IF(mlb_payrolls[[#This Row],[Postseason]]="No Playoffs",0,1)</f>
        <v>0</v>
      </c>
    </row>
    <row r="154" spans="1:22" x14ac:dyDescent="0.3">
      <c r="A154" t="s">
        <v>27</v>
      </c>
      <c r="B154" t="s">
        <v>28</v>
      </c>
      <c r="C154">
        <v>2021</v>
      </c>
      <c r="D154">
        <v>28.9</v>
      </c>
      <c r="E154" s="1">
        <v>99377415</v>
      </c>
      <c r="F154" s="1">
        <v>79937621</v>
      </c>
      <c r="G154" s="1">
        <v>3109474</v>
      </c>
      <c r="H154" s="1">
        <v>10266654</v>
      </c>
      <c r="I154" s="1">
        <v>6217716</v>
      </c>
      <c r="J154">
        <v>95</v>
      </c>
      <c r="K154">
        <v>67</v>
      </c>
      <c r="L154" t="s">
        <v>24</v>
      </c>
      <c r="M154">
        <f>mlb_payrolls[[#This Row],[Wins]] + mlb_payrolls[[#This Row],[Losses]]</f>
        <v>162</v>
      </c>
      <c r="N154" s="2">
        <f>IF(mlb_payrolls[[#This Row],[Games]] &gt;0, mlb_payrolls[[#This Row],[Wins]]/mlb_payrolls[[#This Row],[Games]], "")</f>
        <v>0.5864197530864198</v>
      </c>
      <c r="O154" s="1">
        <f>IFERROR(VALUE(mlb_payrolls[[#This Row],[Total Payroll Allocations]])/VALUE(mlb_payrolls[[#This Row],[Wins]]),"")</f>
        <v>1046078.052631579</v>
      </c>
      <c r="P154" s="1">
        <f>SUM(mlb_payrolls[[#This Row],[Active 26-Man]],mlb_payrolls[[#This Row],[Injured]],mlb_payrolls[[#This Row],[Retained]],mlb_payrolls[[#This Row],[Buried]])</f>
        <v>99531465</v>
      </c>
      <c r="Q154" s="1">
        <f>mlb_payrolls[[#This Row],[Total Payroll Allocations]]-mlb_payrolls[[#This Row],[Payroll Parts Sum]]</f>
        <v>-154050</v>
      </c>
      <c r="R154" s="2">
        <f>IF(mlb_payrolls[[#This Row],[Total Payroll Allocations]]&gt;0, mlb_payrolls[[#This Row],[Active 26-Man]]/mlb_payrolls[[#This Row],[Total Payroll Allocations]],"")</f>
        <v>0.80438418527992506</v>
      </c>
      <c r="S154" s="2">
        <f>IF(mlb_payrolls[[#This Row],[Total Payroll Allocations]]&gt;0,mlb_payrolls[[#This Row],[Injured]]/mlb_payrolls[[#This Row],[Total Payroll Allocations]])</f>
        <v>3.1289544007559462E-2</v>
      </c>
      <c r="T154" s="3">
        <f>IF(mlb_payrolls[[#This Row],[Total Payroll Allocations]]&gt;0,mlb_payrolls[[#This Row],[Retained]]/mlb_payrolls[[#This Row],[Total Payroll Allocations]])</f>
        <v>0.10330973088804936</v>
      </c>
      <c r="U154" s="3">
        <f>IF(mlb_payrolls[[#This Row],[Total Payroll Allocations]]&gt;0,mlb_payrolls[[#This Row],[Buried]]/mlb_payrolls[[#This Row],[Total Payroll Allocations]])</f>
        <v>6.2566690832117133E-2</v>
      </c>
      <c r="V154">
        <f>IF(mlb_payrolls[[#This Row],[Postseason]]="No Playoffs",0,1)</f>
        <v>1</v>
      </c>
    </row>
    <row r="155" spans="1:22" x14ac:dyDescent="0.3">
      <c r="A155" t="s">
        <v>15</v>
      </c>
      <c r="B155" t="s">
        <v>16</v>
      </c>
      <c r="C155">
        <v>2015</v>
      </c>
      <c r="D155">
        <v>28.8</v>
      </c>
      <c r="E155" s="1">
        <v>99435606</v>
      </c>
      <c r="F155" s="1">
        <v>78904030</v>
      </c>
      <c r="G155" s="1">
        <v>14318868</v>
      </c>
      <c r="H155" s="1">
        <v>2759768</v>
      </c>
      <c r="I155" s="1">
        <v>452940</v>
      </c>
      <c r="J155">
        <v>98</v>
      </c>
      <c r="K155">
        <v>64</v>
      </c>
      <c r="L155" t="s">
        <v>21</v>
      </c>
      <c r="M155">
        <f>mlb_payrolls[[#This Row],[Wins]] + mlb_payrolls[[#This Row],[Losses]]</f>
        <v>162</v>
      </c>
      <c r="N155" s="2">
        <f>IF(mlb_payrolls[[#This Row],[Games]] &gt;0, mlb_payrolls[[#This Row],[Wins]]/mlb_payrolls[[#This Row],[Games]], "")</f>
        <v>0.60493827160493829</v>
      </c>
      <c r="O155" s="1">
        <f>IFERROR(VALUE(mlb_payrolls[[#This Row],[Total Payroll Allocations]])/VALUE(mlb_payrolls[[#This Row],[Wins]]),"")</f>
        <v>1014649.0408163265</v>
      </c>
      <c r="P155" s="1">
        <f>SUM(mlb_payrolls[[#This Row],[Active 26-Man]],mlb_payrolls[[#This Row],[Injured]],mlb_payrolls[[#This Row],[Retained]],mlb_payrolls[[#This Row],[Buried]])</f>
        <v>96435606</v>
      </c>
      <c r="Q155" s="1">
        <f>mlb_payrolls[[#This Row],[Total Payroll Allocations]]-mlb_payrolls[[#This Row],[Payroll Parts Sum]]</f>
        <v>3000000</v>
      </c>
      <c r="R155" s="2">
        <f>IF(mlb_payrolls[[#This Row],[Total Payroll Allocations]]&gt;0, mlb_payrolls[[#This Row],[Active 26-Man]]/mlb_payrolls[[#This Row],[Total Payroll Allocations]],"")</f>
        <v>0.79351887290755785</v>
      </c>
      <c r="S155" s="2">
        <f>IF(mlb_payrolls[[#This Row],[Total Payroll Allocations]]&gt;0,mlb_payrolls[[#This Row],[Injured]]/mlb_payrolls[[#This Row],[Total Payroll Allocations]])</f>
        <v>0.14400141534813998</v>
      </c>
      <c r="T155" s="3">
        <f>IF(mlb_payrolls[[#This Row],[Total Payroll Allocations]]&gt;0,mlb_payrolls[[#This Row],[Retained]]/mlb_payrolls[[#This Row],[Total Payroll Allocations]])</f>
        <v>2.7754323737917381E-2</v>
      </c>
      <c r="U155" s="3">
        <f>IF(mlb_payrolls[[#This Row],[Total Payroll Allocations]]&gt;0,mlb_payrolls[[#This Row],[Buried]]/mlb_payrolls[[#This Row],[Total Payroll Allocations]])</f>
        <v>4.5551087605379507E-3</v>
      </c>
      <c r="V155">
        <f>IF(mlb_payrolls[[#This Row],[Postseason]]="No Playoffs",0,1)</f>
        <v>1</v>
      </c>
    </row>
    <row r="156" spans="1:22" x14ac:dyDescent="0.3">
      <c r="A156" t="s">
        <v>15</v>
      </c>
      <c r="B156" t="s">
        <v>16</v>
      </c>
      <c r="C156">
        <v>2016</v>
      </c>
      <c r="D156">
        <v>28</v>
      </c>
      <c r="E156" s="1">
        <v>99518136</v>
      </c>
      <c r="F156" s="1">
        <v>57311465</v>
      </c>
      <c r="G156" s="1">
        <v>10861276</v>
      </c>
      <c r="H156" s="1">
        <v>31267751</v>
      </c>
      <c r="I156" s="1">
        <v>77644</v>
      </c>
      <c r="J156">
        <v>78</v>
      </c>
      <c r="K156">
        <v>83</v>
      </c>
      <c r="L156" t="s">
        <v>14</v>
      </c>
      <c r="M156">
        <f>mlb_payrolls[[#This Row],[Wins]] + mlb_payrolls[[#This Row],[Losses]]</f>
        <v>161</v>
      </c>
      <c r="N156" s="2">
        <f>IF(mlb_payrolls[[#This Row],[Games]] &gt;0, mlb_payrolls[[#This Row],[Wins]]/mlb_payrolls[[#This Row],[Games]], "")</f>
        <v>0.48447204968944102</v>
      </c>
      <c r="O156" s="1">
        <f>IFERROR(VALUE(mlb_payrolls[[#This Row],[Total Payroll Allocations]])/VALUE(mlb_payrolls[[#This Row],[Wins]]),"")</f>
        <v>1275873.5384615385</v>
      </c>
      <c r="P156" s="1">
        <f>SUM(mlb_payrolls[[#This Row],[Active 26-Man]],mlb_payrolls[[#This Row],[Injured]],mlb_payrolls[[#This Row],[Retained]],mlb_payrolls[[#This Row],[Buried]])</f>
        <v>99518136</v>
      </c>
      <c r="Q156" s="1">
        <f>mlb_payrolls[[#This Row],[Total Payroll Allocations]]-mlb_payrolls[[#This Row],[Payroll Parts Sum]]</f>
        <v>0</v>
      </c>
      <c r="R156" s="2">
        <f>IF(mlb_payrolls[[#This Row],[Total Payroll Allocations]]&gt;0, mlb_payrolls[[#This Row],[Active 26-Man]]/mlb_payrolls[[#This Row],[Total Payroll Allocations]],"")</f>
        <v>0.57588965492681654</v>
      </c>
      <c r="S156" s="2">
        <f>IF(mlb_payrolls[[#This Row],[Total Payroll Allocations]]&gt;0,mlb_payrolls[[#This Row],[Injured]]/mlb_payrolls[[#This Row],[Total Payroll Allocations]])</f>
        <v>0.10913865991219932</v>
      </c>
      <c r="T156" s="3">
        <f>IF(mlb_payrolls[[#This Row],[Total Payroll Allocations]]&gt;0,mlb_payrolls[[#This Row],[Retained]]/mlb_payrolls[[#This Row],[Total Payroll Allocations]])</f>
        <v>0.31419148566046295</v>
      </c>
      <c r="U156" s="3">
        <f>IF(mlb_payrolls[[#This Row],[Total Payroll Allocations]]&gt;0,mlb_payrolls[[#This Row],[Buried]]/mlb_payrolls[[#This Row],[Total Payroll Allocations]])</f>
        <v>7.8019950052119142E-4</v>
      </c>
      <c r="V156">
        <f>IF(mlb_payrolls[[#This Row],[Postseason]]="No Playoffs",0,1)</f>
        <v>0</v>
      </c>
    </row>
    <row r="157" spans="1:22" x14ac:dyDescent="0.3">
      <c r="A157" t="s">
        <v>65</v>
      </c>
      <c r="B157" t="s">
        <v>66</v>
      </c>
      <c r="C157">
        <v>2016</v>
      </c>
      <c r="D157">
        <v>26.8</v>
      </c>
      <c r="E157" s="1">
        <v>99828742</v>
      </c>
      <c r="F157" s="1">
        <v>75441606</v>
      </c>
      <c r="G157" s="1">
        <v>6968124</v>
      </c>
      <c r="H157" s="1">
        <v>15955584</v>
      </c>
      <c r="I157" s="1">
        <v>2113693</v>
      </c>
      <c r="J157">
        <v>84</v>
      </c>
      <c r="K157">
        <v>78</v>
      </c>
      <c r="L157" t="s">
        <v>14</v>
      </c>
      <c r="M157">
        <f>mlb_payrolls[[#This Row],[Wins]] + mlb_payrolls[[#This Row],[Losses]]</f>
        <v>162</v>
      </c>
      <c r="N157" s="2">
        <f>IF(mlb_payrolls[[#This Row],[Games]] &gt;0, mlb_payrolls[[#This Row],[Wins]]/mlb_payrolls[[#This Row],[Games]], "")</f>
        <v>0.51851851851851849</v>
      </c>
      <c r="O157" s="1">
        <f>IFERROR(VALUE(mlb_payrolls[[#This Row],[Total Payroll Allocations]])/VALUE(mlb_payrolls[[#This Row],[Wins]]),"")</f>
        <v>1188437.4047619049</v>
      </c>
      <c r="P157" s="1">
        <f>SUM(mlb_payrolls[[#This Row],[Active 26-Man]],mlb_payrolls[[#This Row],[Injured]],mlb_payrolls[[#This Row],[Retained]],mlb_payrolls[[#This Row],[Buried]])</f>
        <v>100479007</v>
      </c>
      <c r="Q157" s="1">
        <f>mlb_payrolls[[#This Row],[Total Payroll Allocations]]-mlb_payrolls[[#This Row],[Payroll Parts Sum]]</f>
        <v>-650265</v>
      </c>
      <c r="R157" s="2">
        <f>IF(mlb_payrolls[[#This Row],[Total Payroll Allocations]]&gt;0, mlb_payrolls[[#This Row],[Active 26-Man]]/mlb_payrolls[[#This Row],[Total Payroll Allocations]],"")</f>
        <v>0.75571027430156335</v>
      </c>
      <c r="S157" s="2">
        <f>IF(mlb_payrolls[[#This Row],[Total Payroll Allocations]]&gt;0,mlb_payrolls[[#This Row],[Injured]]/mlb_payrolls[[#This Row],[Total Payroll Allocations]])</f>
        <v>6.9800779418817072E-2</v>
      </c>
      <c r="T157" s="3">
        <f>IF(mlb_payrolls[[#This Row],[Total Payroll Allocations]]&gt;0,mlb_payrolls[[#This Row],[Retained]]/mlb_payrolls[[#This Row],[Total Payroll Allocations]])</f>
        <v>0.15982956090942227</v>
      </c>
      <c r="U157" s="3">
        <f>IF(mlb_payrolls[[#This Row],[Total Payroll Allocations]]&gt;0,mlb_payrolls[[#This Row],[Buried]]/mlb_payrolls[[#This Row],[Total Payroll Allocations]])</f>
        <v>2.1173190783071272E-2</v>
      </c>
      <c r="V157">
        <f>IF(mlb_payrolls[[#This Row],[Postseason]]="No Playoffs",0,1)</f>
        <v>0</v>
      </c>
    </row>
    <row r="158" spans="1:22" x14ac:dyDescent="0.3">
      <c r="A158" t="s">
        <v>29</v>
      </c>
      <c r="B158" t="s">
        <v>30</v>
      </c>
      <c r="C158">
        <v>2024</v>
      </c>
      <c r="D158">
        <v>28.3</v>
      </c>
      <c r="E158" s="1">
        <v>100254855</v>
      </c>
      <c r="F158" s="1">
        <v>52050116</v>
      </c>
      <c r="G158" s="1">
        <v>22271250</v>
      </c>
      <c r="H158" s="1">
        <v>20560145</v>
      </c>
      <c r="I158" s="1">
        <v>1573344</v>
      </c>
      <c r="J158">
        <v>77</v>
      </c>
      <c r="K158">
        <v>85</v>
      </c>
      <c r="L158" t="s">
        <v>14</v>
      </c>
      <c r="M158">
        <f>mlb_payrolls[[#This Row],[Wins]] + mlb_payrolls[[#This Row],[Losses]]</f>
        <v>162</v>
      </c>
      <c r="N158" s="2">
        <f>IF(mlb_payrolls[[#This Row],[Games]] &gt;0, mlb_payrolls[[#This Row],[Wins]]/mlb_payrolls[[#This Row],[Games]], "")</f>
        <v>0.47530864197530864</v>
      </c>
      <c r="O158" s="1">
        <f>IFERROR(VALUE(mlb_payrolls[[#This Row],[Total Payroll Allocations]])/VALUE(mlb_payrolls[[#This Row],[Wins]]),"")</f>
        <v>1302011.1038961038</v>
      </c>
      <c r="P158" s="1">
        <f>SUM(mlb_payrolls[[#This Row],[Active 26-Man]],mlb_payrolls[[#This Row],[Injured]],mlb_payrolls[[#This Row],[Retained]],mlb_payrolls[[#This Row],[Buried]])</f>
        <v>96454855</v>
      </c>
      <c r="Q158" s="1">
        <f>mlb_payrolls[[#This Row],[Total Payroll Allocations]]-mlb_payrolls[[#This Row],[Payroll Parts Sum]]</f>
        <v>3800000</v>
      </c>
      <c r="R158" s="2">
        <f>IF(mlb_payrolls[[#This Row],[Total Payroll Allocations]]&gt;0, mlb_payrolls[[#This Row],[Active 26-Man]]/mlb_payrolls[[#This Row],[Total Payroll Allocations]],"")</f>
        <v>0.51917800888545496</v>
      </c>
      <c r="S158" s="2">
        <f>IF(mlb_payrolls[[#This Row],[Total Payroll Allocations]]&gt;0,mlb_payrolls[[#This Row],[Injured]]/mlb_payrolls[[#This Row],[Total Payroll Allocations]])</f>
        <v>0.22214634892245369</v>
      </c>
      <c r="T158" s="3">
        <f>IF(mlb_payrolls[[#This Row],[Total Payroll Allocations]]&gt;0,mlb_payrolls[[#This Row],[Retained]]/mlb_payrolls[[#This Row],[Total Payroll Allocations]])</f>
        <v>0.20507879643334978</v>
      </c>
      <c r="U158" s="3">
        <f>IF(mlb_payrolls[[#This Row],[Total Payroll Allocations]]&gt;0,mlb_payrolls[[#This Row],[Buried]]/mlb_payrolls[[#This Row],[Total Payroll Allocations]])</f>
        <v>1.5693444472090652E-2</v>
      </c>
      <c r="V158">
        <f>IF(mlb_payrolls[[#This Row],[Postseason]]="No Playoffs",0,1)</f>
        <v>0</v>
      </c>
    </row>
    <row r="159" spans="1:22" x14ac:dyDescent="0.3">
      <c r="A159" t="s">
        <v>29</v>
      </c>
      <c r="B159" t="s">
        <v>30</v>
      </c>
      <c r="C159">
        <v>2018</v>
      </c>
      <c r="D159">
        <v>26.7</v>
      </c>
      <c r="E159" s="1">
        <v>100305768</v>
      </c>
      <c r="F159" s="1">
        <v>82511299</v>
      </c>
      <c r="G159" s="1">
        <v>1344890</v>
      </c>
      <c r="H159" s="1">
        <v>15242487</v>
      </c>
      <c r="I159" s="1">
        <v>1207092</v>
      </c>
      <c r="J159">
        <v>67</v>
      </c>
      <c r="K159">
        <v>95</v>
      </c>
      <c r="L159" t="s">
        <v>14</v>
      </c>
      <c r="M159">
        <f>mlb_payrolls[[#This Row],[Wins]] + mlb_payrolls[[#This Row],[Losses]]</f>
        <v>162</v>
      </c>
      <c r="N159" s="2">
        <f>IF(mlb_payrolls[[#This Row],[Games]] &gt;0, mlb_payrolls[[#This Row],[Wins]]/mlb_payrolls[[#This Row],[Games]], "")</f>
        <v>0.41358024691358025</v>
      </c>
      <c r="O159" s="1">
        <f>IFERROR(VALUE(mlb_payrolls[[#This Row],[Total Payroll Allocations]])/VALUE(mlb_payrolls[[#This Row],[Wins]]),"")</f>
        <v>1497101.014925373</v>
      </c>
      <c r="P159" s="1">
        <f>SUM(mlb_payrolls[[#This Row],[Active 26-Man]],mlb_payrolls[[#This Row],[Injured]],mlb_payrolls[[#This Row],[Retained]],mlb_payrolls[[#This Row],[Buried]])</f>
        <v>100305768</v>
      </c>
      <c r="Q159" s="1">
        <f>mlb_payrolls[[#This Row],[Total Payroll Allocations]]-mlb_payrolls[[#This Row],[Payroll Parts Sum]]</f>
        <v>0</v>
      </c>
      <c r="R159" s="2">
        <f>IF(mlb_payrolls[[#This Row],[Total Payroll Allocations]]&gt;0, mlb_payrolls[[#This Row],[Active 26-Man]]/mlb_payrolls[[#This Row],[Total Payroll Allocations]],"")</f>
        <v>0.82259774931387797</v>
      </c>
      <c r="S159" s="2">
        <f>IF(mlb_payrolls[[#This Row],[Total Payroll Allocations]]&gt;0,mlb_payrolls[[#This Row],[Injured]]/mlb_payrolls[[#This Row],[Total Payroll Allocations]])</f>
        <v>1.3407902923389212E-2</v>
      </c>
      <c r="T159" s="3">
        <f>IF(mlb_payrolls[[#This Row],[Total Payroll Allocations]]&gt;0,mlb_payrolls[[#This Row],[Retained]]/mlb_payrolls[[#This Row],[Total Payroll Allocations]])</f>
        <v>0.15196022426148015</v>
      </c>
      <c r="U159" s="3">
        <f>IF(mlb_payrolls[[#This Row],[Total Payroll Allocations]]&gt;0,mlb_payrolls[[#This Row],[Buried]]/mlb_payrolls[[#This Row],[Total Payroll Allocations]])</f>
        <v>1.2034123501252689E-2</v>
      </c>
      <c r="V159">
        <f>IF(mlb_payrolls[[#This Row],[Postseason]]="No Playoffs",0,1)</f>
        <v>0</v>
      </c>
    </row>
    <row r="160" spans="1:22" x14ac:dyDescent="0.3">
      <c r="A160" t="s">
        <v>25</v>
      </c>
      <c r="B160" t="s">
        <v>26</v>
      </c>
      <c r="C160">
        <v>2013</v>
      </c>
      <c r="D160">
        <v>27.6</v>
      </c>
      <c r="E160" s="1">
        <v>100430869</v>
      </c>
      <c r="F160" s="1">
        <v>97466019</v>
      </c>
      <c r="G160" s="1">
        <v>0</v>
      </c>
      <c r="H160" s="1">
        <v>1222009</v>
      </c>
      <c r="I160" s="1">
        <v>42841</v>
      </c>
      <c r="J160">
        <v>85</v>
      </c>
      <c r="K160">
        <v>77</v>
      </c>
      <c r="L160" t="s">
        <v>14</v>
      </c>
      <c r="M160">
        <f>mlb_payrolls[[#This Row],[Wins]] + mlb_payrolls[[#This Row],[Losses]]</f>
        <v>162</v>
      </c>
      <c r="N160" s="2">
        <f>IF(mlb_payrolls[[#This Row],[Games]] &gt;0, mlb_payrolls[[#This Row],[Wins]]/mlb_payrolls[[#This Row],[Games]], "")</f>
        <v>0.52469135802469136</v>
      </c>
      <c r="O160" s="1">
        <f>IFERROR(VALUE(mlb_payrolls[[#This Row],[Total Payroll Allocations]])/VALUE(mlb_payrolls[[#This Row],[Wins]]),"")</f>
        <v>1181539.6352941177</v>
      </c>
      <c r="P160" s="1">
        <f>SUM(mlb_payrolls[[#This Row],[Active 26-Man]],mlb_payrolls[[#This Row],[Injured]],mlb_payrolls[[#This Row],[Retained]],mlb_payrolls[[#This Row],[Buried]])</f>
        <v>98730869</v>
      </c>
      <c r="Q160" s="1">
        <f>mlb_payrolls[[#This Row],[Total Payroll Allocations]]-mlb_payrolls[[#This Row],[Payroll Parts Sum]]</f>
        <v>1700000</v>
      </c>
      <c r="R160" s="2">
        <f>IF(mlb_payrolls[[#This Row],[Total Payroll Allocations]]&gt;0, mlb_payrolls[[#This Row],[Active 26-Man]]/mlb_payrolls[[#This Row],[Total Payroll Allocations]],"")</f>
        <v>0.97047869813811927</v>
      </c>
      <c r="S160" s="2">
        <f>IF(mlb_payrolls[[#This Row],[Total Payroll Allocations]]&gt;0,mlb_payrolls[[#This Row],[Injured]]/mlb_payrolls[[#This Row],[Total Payroll Allocations]])</f>
        <v>0</v>
      </c>
      <c r="T160" s="3">
        <f>IF(mlb_payrolls[[#This Row],[Total Payroll Allocations]]&gt;0,mlb_payrolls[[#This Row],[Retained]]/mlb_payrolls[[#This Row],[Total Payroll Allocations]])</f>
        <v>1.216766331076952E-2</v>
      </c>
      <c r="U160" s="3">
        <f>IF(mlb_payrolls[[#This Row],[Total Payroll Allocations]]&gt;0,mlb_payrolls[[#This Row],[Buried]]/mlb_payrolls[[#This Row],[Total Payroll Allocations]])</f>
        <v>4.2657203334564396E-4</v>
      </c>
      <c r="V160">
        <f>IF(mlb_payrolls[[#This Row],[Postseason]]="No Playoffs",0,1)</f>
        <v>0</v>
      </c>
    </row>
    <row r="161" spans="1:22" x14ac:dyDescent="0.3">
      <c r="A161" t="s">
        <v>15</v>
      </c>
      <c r="B161" t="s">
        <v>16</v>
      </c>
      <c r="C161">
        <v>2017</v>
      </c>
      <c r="D161">
        <v>27.7</v>
      </c>
      <c r="E161" s="1">
        <v>100503030</v>
      </c>
      <c r="F161" s="1">
        <v>66496313</v>
      </c>
      <c r="G161" s="1">
        <v>16750000</v>
      </c>
      <c r="H161" s="1">
        <v>14381028</v>
      </c>
      <c r="I161" s="1">
        <v>125689</v>
      </c>
      <c r="J161">
        <v>75</v>
      </c>
      <c r="K161">
        <v>87</v>
      </c>
      <c r="L161" t="s">
        <v>14</v>
      </c>
      <c r="M161">
        <f>mlb_payrolls[[#This Row],[Wins]] + mlb_payrolls[[#This Row],[Losses]]</f>
        <v>162</v>
      </c>
      <c r="N161" s="2">
        <f>IF(mlb_payrolls[[#This Row],[Games]] &gt;0, mlb_payrolls[[#This Row],[Wins]]/mlb_payrolls[[#This Row],[Games]], "")</f>
        <v>0.46296296296296297</v>
      </c>
      <c r="O161" s="1">
        <f>IFERROR(VALUE(mlb_payrolls[[#This Row],[Total Payroll Allocations]])/VALUE(mlb_payrolls[[#This Row],[Wins]]),"")</f>
        <v>1340040.3999999999</v>
      </c>
      <c r="P161" s="1">
        <f>SUM(mlb_payrolls[[#This Row],[Active 26-Man]],mlb_payrolls[[#This Row],[Injured]],mlb_payrolls[[#This Row],[Retained]],mlb_payrolls[[#This Row],[Buried]])</f>
        <v>97753030</v>
      </c>
      <c r="Q161" s="1">
        <f>mlb_payrolls[[#This Row],[Total Payroll Allocations]]-mlb_payrolls[[#This Row],[Payroll Parts Sum]]</f>
        <v>2750000</v>
      </c>
      <c r="R161" s="2">
        <f>IF(mlb_payrolls[[#This Row],[Total Payroll Allocations]]&gt;0, mlb_payrolls[[#This Row],[Active 26-Man]]/mlb_payrolls[[#This Row],[Total Payroll Allocations]],"")</f>
        <v>0.66163490792267654</v>
      </c>
      <c r="S161" s="2">
        <f>IF(mlb_payrolls[[#This Row],[Total Payroll Allocations]]&gt;0,mlb_payrolls[[#This Row],[Injured]]/mlb_payrolls[[#This Row],[Total Payroll Allocations]])</f>
        <v>0.16666164194253646</v>
      </c>
      <c r="T161" s="3">
        <f>IF(mlb_payrolls[[#This Row],[Total Payroll Allocations]]&gt;0,mlb_payrolls[[#This Row],[Retained]]/mlb_payrolls[[#This Row],[Total Payroll Allocations]])</f>
        <v>0.14309049189860246</v>
      </c>
      <c r="U161" s="3">
        <f>IF(mlb_payrolls[[#This Row],[Total Payroll Allocations]]&gt;0,mlb_payrolls[[#This Row],[Buried]]/mlb_payrolls[[#This Row],[Total Payroll Allocations]])</f>
        <v>1.2505991112904756E-3</v>
      </c>
      <c r="V161">
        <f>IF(mlb_payrolls[[#This Row],[Postseason]]="No Playoffs",0,1)</f>
        <v>0</v>
      </c>
    </row>
    <row r="162" spans="1:22" x14ac:dyDescent="0.3">
      <c r="A162" t="s">
        <v>39</v>
      </c>
      <c r="B162" t="s">
        <v>40</v>
      </c>
      <c r="C162">
        <v>2011</v>
      </c>
      <c r="D162">
        <v>26.9</v>
      </c>
      <c r="E162" s="1">
        <v>100829148</v>
      </c>
      <c r="F162" s="1">
        <v>88307834</v>
      </c>
      <c r="G162" s="1">
        <v>0</v>
      </c>
      <c r="H162" s="1">
        <v>12521314</v>
      </c>
      <c r="I162" s="1">
        <v>0</v>
      </c>
      <c r="J162">
        <v>67</v>
      </c>
      <c r="K162">
        <v>95</v>
      </c>
      <c r="L162" t="s">
        <v>14</v>
      </c>
      <c r="M162">
        <f>mlb_payrolls[[#This Row],[Wins]] + mlb_payrolls[[#This Row],[Losses]]</f>
        <v>162</v>
      </c>
      <c r="N162" s="2">
        <f>IF(mlb_payrolls[[#This Row],[Games]] &gt;0, mlb_payrolls[[#This Row],[Wins]]/mlb_payrolls[[#This Row],[Games]], "")</f>
        <v>0.41358024691358025</v>
      </c>
      <c r="O162" s="1">
        <f>IFERROR(VALUE(mlb_payrolls[[#This Row],[Total Payroll Allocations]])/VALUE(mlb_payrolls[[#This Row],[Wins]]),"")</f>
        <v>1504912.656716418</v>
      </c>
      <c r="P162" s="1">
        <f>SUM(mlb_payrolls[[#This Row],[Active 26-Man]],mlb_payrolls[[#This Row],[Injured]],mlb_payrolls[[#This Row],[Retained]],mlb_payrolls[[#This Row],[Buried]])</f>
        <v>100829148</v>
      </c>
      <c r="Q162" s="1">
        <f>mlb_payrolls[[#This Row],[Total Payroll Allocations]]-mlb_payrolls[[#This Row],[Payroll Parts Sum]]</f>
        <v>0</v>
      </c>
      <c r="R162" s="2">
        <f>IF(mlb_payrolls[[#This Row],[Total Payroll Allocations]]&gt;0, mlb_payrolls[[#This Row],[Active 26-Man]]/mlb_payrolls[[#This Row],[Total Payroll Allocations]],"")</f>
        <v>0.87581652480094352</v>
      </c>
      <c r="S162" s="2">
        <f>IF(mlb_payrolls[[#This Row],[Total Payroll Allocations]]&gt;0,mlb_payrolls[[#This Row],[Injured]]/mlb_payrolls[[#This Row],[Total Payroll Allocations]])</f>
        <v>0</v>
      </c>
      <c r="T162" s="3">
        <f>IF(mlb_payrolls[[#This Row],[Total Payroll Allocations]]&gt;0,mlb_payrolls[[#This Row],[Retained]]/mlb_payrolls[[#This Row],[Total Payroll Allocations]])</f>
        <v>0.12418347519905652</v>
      </c>
      <c r="U162" s="3">
        <f>IF(mlb_payrolls[[#This Row],[Total Payroll Allocations]]&gt;0,mlb_payrolls[[#This Row],[Buried]]/mlb_payrolls[[#This Row],[Total Payroll Allocations]])</f>
        <v>0</v>
      </c>
      <c r="V162">
        <f>IF(mlb_payrolls[[#This Row],[Postseason]]="No Playoffs",0,1)</f>
        <v>0</v>
      </c>
    </row>
    <row r="163" spans="1:22" x14ac:dyDescent="0.3">
      <c r="A163" t="s">
        <v>49</v>
      </c>
      <c r="B163" t="s">
        <v>50</v>
      </c>
      <c r="C163">
        <v>2015</v>
      </c>
      <c r="D163">
        <v>27.1</v>
      </c>
      <c r="E163" s="1">
        <v>101277051</v>
      </c>
      <c r="F163" s="1">
        <v>74930648</v>
      </c>
      <c r="G163" s="1">
        <v>6103870</v>
      </c>
      <c r="H163" s="1">
        <v>19940868</v>
      </c>
      <c r="I163" s="1">
        <v>301665</v>
      </c>
      <c r="J163">
        <v>68</v>
      </c>
      <c r="K163">
        <v>94</v>
      </c>
      <c r="L163" t="s">
        <v>14</v>
      </c>
      <c r="M163">
        <f>mlb_payrolls[[#This Row],[Wins]] + mlb_payrolls[[#This Row],[Losses]]</f>
        <v>162</v>
      </c>
      <c r="N163" s="2">
        <f>IF(mlb_payrolls[[#This Row],[Games]] &gt;0, mlb_payrolls[[#This Row],[Wins]]/mlb_payrolls[[#This Row],[Games]], "")</f>
        <v>0.41975308641975306</v>
      </c>
      <c r="O163" s="1">
        <f>IFERROR(VALUE(mlb_payrolls[[#This Row],[Total Payroll Allocations]])/VALUE(mlb_payrolls[[#This Row],[Wins]]),"")</f>
        <v>1489368.3970588236</v>
      </c>
      <c r="P163" s="1">
        <f>SUM(mlb_payrolls[[#This Row],[Active 26-Man]],mlb_payrolls[[#This Row],[Injured]],mlb_payrolls[[#This Row],[Retained]],mlb_payrolls[[#This Row],[Buried]])</f>
        <v>101277051</v>
      </c>
      <c r="Q163" s="1">
        <f>mlb_payrolls[[#This Row],[Total Payroll Allocations]]-mlb_payrolls[[#This Row],[Payroll Parts Sum]]</f>
        <v>0</v>
      </c>
      <c r="R163" s="2">
        <f>IF(mlb_payrolls[[#This Row],[Total Payroll Allocations]]&gt;0, mlb_payrolls[[#This Row],[Active 26-Man]]/mlb_payrolls[[#This Row],[Total Payroll Allocations]],"")</f>
        <v>0.73985811454956363</v>
      </c>
      <c r="S163" s="2">
        <f>IF(mlb_payrolls[[#This Row],[Total Payroll Allocations]]&gt;0,mlb_payrolls[[#This Row],[Injured]]/mlb_payrolls[[#This Row],[Total Payroll Allocations]])</f>
        <v>6.0269033702412995E-2</v>
      </c>
      <c r="T163" s="3">
        <f>IF(mlb_payrolls[[#This Row],[Total Payroll Allocations]]&gt;0,mlb_payrolls[[#This Row],[Retained]]/mlb_payrolls[[#This Row],[Total Payroll Allocations]])</f>
        <v>0.19689424013738316</v>
      </c>
      <c r="U163" s="3">
        <f>IF(mlb_payrolls[[#This Row],[Total Payroll Allocations]]&gt;0,mlb_payrolls[[#This Row],[Buried]]/mlb_payrolls[[#This Row],[Total Payroll Allocations]])</f>
        <v>2.9786116106402033E-3</v>
      </c>
      <c r="V163">
        <f>IF(mlb_payrolls[[#This Row],[Postseason]]="No Playoffs",0,1)</f>
        <v>0</v>
      </c>
    </row>
    <row r="164" spans="1:22" x14ac:dyDescent="0.3">
      <c r="A164" t="s">
        <v>73</v>
      </c>
      <c r="B164" t="s">
        <v>74</v>
      </c>
      <c r="C164">
        <v>2013</v>
      </c>
      <c r="D164">
        <v>28</v>
      </c>
      <c r="E164" s="1">
        <v>101300814</v>
      </c>
      <c r="F164" s="1">
        <v>70361236</v>
      </c>
      <c r="G164" s="1">
        <v>500625</v>
      </c>
      <c r="H164" s="1">
        <v>29697743</v>
      </c>
      <c r="I164" s="1">
        <v>741210</v>
      </c>
      <c r="J164">
        <v>74</v>
      </c>
      <c r="K164">
        <v>88</v>
      </c>
      <c r="L164" t="s">
        <v>14</v>
      </c>
      <c r="M164">
        <f>mlb_payrolls[[#This Row],[Wins]] + mlb_payrolls[[#This Row],[Losses]]</f>
        <v>162</v>
      </c>
      <c r="N164" s="2">
        <f>IF(mlb_payrolls[[#This Row],[Games]] &gt;0, mlb_payrolls[[#This Row],[Wins]]/mlb_payrolls[[#This Row],[Games]], "")</f>
        <v>0.4567901234567901</v>
      </c>
      <c r="O164" s="1">
        <f>IFERROR(VALUE(mlb_payrolls[[#This Row],[Total Payroll Allocations]])/VALUE(mlb_payrolls[[#This Row],[Wins]]),"")</f>
        <v>1368929.9189189188</v>
      </c>
      <c r="P164" s="1">
        <f>SUM(mlb_payrolls[[#This Row],[Active 26-Man]],mlb_payrolls[[#This Row],[Injured]],mlb_payrolls[[#This Row],[Retained]],mlb_payrolls[[#This Row],[Buried]])</f>
        <v>101300814</v>
      </c>
      <c r="Q164" s="1">
        <f>mlb_payrolls[[#This Row],[Total Payroll Allocations]]-mlb_payrolls[[#This Row],[Payroll Parts Sum]]</f>
        <v>0</v>
      </c>
      <c r="R164" s="2">
        <f>IF(mlb_payrolls[[#This Row],[Total Payroll Allocations]]&gt;0, mlb_payrolls[[#This Row],[Active 26-Man]]/mlb_payrolls[[#This Row],[Total Payroll Allocations]],"")</f>
        <v>0.69457720250895516</v>
      </c>
      <c r="S164" s="2">
        <f>IF(mlb_payrolls[[#This Row],[Total Payroll Allocations]]&gt;0,mlb_payrolls[[#This Row],[Injured]]/mlb_payrolls[[#This Row],[Total Payroll Allocations]])</f>
        <v>4.9419642373258717E-3</v>
      </c>
      <c r="T164" s="3">
        <f>IF(mlb_payrolls[[#This Row],[Total Payroll Allocations]]&gt;0,mlb_payrolls[[#This Row],[Retained]]/mlb_payrolls[[#This Row],[Total Payroll Allocations]])</f>
        <v>0.29316391277961495</v>
      </c>
      <c r="U164" s="3">
        <f>IF(mlb_payrolls[[#This Row],[Total Payroll Allocations]]&gt;0,mlb_payrolls[[#This Row],[Buried]]/mlb_payrolls[[#This Row],[Total Payroll Allocations]])</f>
        <v>7.3169204741039889E-3</v>
      </c>
      <c r="V164">
        <f>IF(mlb_payrolls[[#This Row],[Postseason]]="No Playoffs",0,1)</f>
        <v>0</v>
      </c>
    </row>
    <row r="165" spans="1:22" x14ac:dyDescent="0.3">
      <c r="A165" t="s">
        <v>41</v>
      </c>
      <c r="B165" t="s">
        <v>42</v>
      </c>
      <c r="C165">
        <v>2018</v>
      </c>
      <c r="D165">
        <v>26</v>
      </c>
      <c r="E165" s="1">
        <v>101760815</v>
      </c>
      <c r="F165" s="1">
        <v>50099477</v>
      </c>
      <c r="G165" s="1">
        <v>5702300</v>
      </c>
      <c r="H165" s="1">
        <v>44479430</v>
      </c>
      <c r="I165" s="1">
        <v>934608</v>
      </c>
      <c r="J165">
        <v>66</v>
      </c>
      <c r="K165">
        <v>96</v>
      </c>
      <c r="L165" t="s">
        <v>14</v>
      </c>
      <c r="M165">
        <f>mlb_payrolls[[#This Row],[Wins]] + mlb_payrolls[[#This Row],[Losses]]</f>
        <v>162</v>
      </c>
      <c r="N165" s="2">
        <f>IF(mlb_payrolls[[#This Row],[Games]] &gt;0, mlb_payrolls[[#This Row],[Wins]]/mlb_payrolls[[#This Row],[Games]], "")</f>
        <v>0.40740740740740738</v>
      </c>
      <c r="O165" s="1">
        <f>IFERROR(VALUE(mlb_payrolls[[#This Row],[Total Payroll Allocations]])/VALUE(mlb_payrolls[[#This Row],[Wins]]),"")</f>
        <v>1541830.5303030303</v>
      </c>
      <c r="P165" s="1">
        <f>SUM(mlb_payrolls[[#This Row],[Active 26-Man]],mlb_payrolls[[#This Row],[Injured]],mlb_payrolls[[#This Row],[Retained]],mlb_payrolls[[#This Row],[Buried]])</f>
        <v>101215815</v>
      </c>
      <c r="Q165" s="1">
        <f>mlb_payrolls[[#This Row],[Total Payroll Allocations]]-mlb_payrolls[[#This Row],[Payroll Parts Sum]]</f>
        <v>545000</v>
      </c>
      <c r="R165" s="2">
        <f>IF(mlb_payrolls[[#This Row],[Total Payroll Allocations]]&gt;0, mlb_payrolls[[#This Row],[Active 26-Man]]/mlb_payrolls[[#This Row],[Total Payroll Allocations]],"")</f>
        <v>0.49232582305870881</v>
      </c>
      <c r="S165" s="2">
        <f>IF(mlb_payrolls[[#This Row],[Total Payroll Allocations]]&gt;0,mlb_payrolls[[#This Row],[Injured]]/mlb_payrolls[[#This Row],[Total Payroll Allocations]])</f>
        <v>5.6036304347601776E-2</v>
      </c>
      <c r="T165" s="3">
        <f>IF(mlb_payrolls[[#This Row],[Total Payroll Allocations]]&gt;0,mlb_payrolls[[#This Row],[Retained]]/mlb_payrolls[[#This Row],[Total Payroll Allocations]])</f>
        <v>0.4370978160896215</v>
      </c>
      <c r="U165" s="3">
        <f>IF(mlb_payrolls[[#This Row],[Total Payroll Allocations]]&gt;0,mlb_payrolls[[#This Row],[Buried]]/mlb_payrolls[[#This Row],[Total Payroll Allocations]])</f>
        <v>9.1843604043462118E-3</v>
      </c>
      <c r="V165">
        <f>IF(mlb_payrolls[[#This Row],[Postseason]]="No Playoffs",0,1)</f>
        <v>0</v>
      </c>
    </row>
    <row r="166" spans="1:22" x14ac:dyDescent="0.3">
      <c r="A166" t="s">
        <v>43</v>
      </c>
      <c r="B166" t="s">
        <v>44</v>
      </c>
      <c r="C166">
        <v>2017</v>
      </c>
      <c r="D166">
        <v>28.3</v>
      </c>
      <c r="E166" s="1">
        <v>102619475</v>
      </c>
      <c r="F166" s="1">
        <v>81644775</v>
      </c>
      <c r="G166" s="1">
        <v>19379200</v>
      </c>
      <c r="H166" s="1">
        <v>1572116</v>
      </c>
      <c r="I166" s="1">
        <v>23384</v>
      </c>
      <c r="J166">
        <v>93</v>
      </c>
      <c r="K166">
        <v>69</v>
      </c>
      <c r="L166" t="s">
        <v>21</v>
      </c>
      <c r="M166">
        <f>mlb_payrolls[[#This Row],[Wins]] + mlb_payrolls[[#This Row],[Losses]]</f>
        <v>162</v>
      </c>
      <c r="N166" s="2">
        <f>IF(mlb_payrolls[[#This Row],[Games]] &gt;0, mlb_payrolls[[#This Row],[Wins]]/mlb_payrolls[[#This Row],[Games]], "")</f>
        <v>0.57407407407407407</v>
      </c>
      <c r="O166" s="1">
        <f>IFERROR(VALUE(mlb_payrolls[[#This Row],[Total Payroll Allocations]])/VALUE(mlb_payrolls[[#This Row],[Wins]]),"")</f>
        <v>1103435.2150537635</v>
      </c>
      <c r="P166" s="1">
        <f>SUM(mlb_payrolls[[#This Row],[Active 26-Man]],mlb_payrolls[[#This Row],[Injured]],mlb_payrolls[[#This Row],[Retained]],mlb_payrolls[[#This Row],[Buried]])</f>
        <v>102619475</v>
      </c>
      <c r="Q166" s="1">
        <f>mlb_payrolls[[#This Row],[Total Payroll Allocations]]-mlb_payrolls[[#This Row],[Payroll Parts Sum]]</f>
        <v>0</v>
      </c>
      <c r="R166" s="2">
        <f>IF(mlb_payrolls[[#This Row],[Total Payroll Allocations]]&gt;0, mlb_payrolls[[#This Row],[Active 26-Man]]/mlb_payrolls[[#This Row],[Total Payroll Allocations]],"")</f>
        <v>0.79560702293594854</v>
      </c>
      <c r="S166" s="2">
        <f>IF(mlb_payrolls[[#This Row],[Total Payroll Allocations]]&gt;0,mlb_payrolls[[#This Row],[Injured]]/mlb_payrolls[[#This Row],[Total Payroll Allocations]])</f>
        <v>0.18884524599253699</v>
      </c>
      <c r="T166" s="3">
        <f>IF(mlb_payrolls[[#This Row],[Total Payroll Allocations]]&gt;0,mlb_payrolls[[#This Row],[Retained]]/mlb_payrolls[[#This Row],[Total Payroll Allocations]])</f>
        <v>1.5319860094782204E-2</v>
      </c>
      <c r="U166" s="3">
        <f>IF(mlb_payrolls[[#This Row],[Total Payroll Allocations]]&gt;0,mlb_payrolls[[#This Row],[Buried]]/mlb_payrolls[[#This Row],[Total Payroll Allocations]])</f>
        <v>2.2787097673224307E-4</v>
      </c>
      <c r="V166">
        <f>IF(mlb_payrolls[[#This Row],[Postseason]]="No Playoffs",0,1)</f>
        <v>1</v>
      </c>
    </row>
    <row r="167" spans="1:22" x14ac:dyDescent="0.3">
      <c r="A167" t="s">
        <v>61</v>
      </c>
      <c r="B167" t="s">
        <v>62</v>
      </c>
      <c r="C167">
        <v>2013</v>
      </c>
      <c r="D167">
        <v>26.8</v>
      </c>
      <c r="E167" s="1">
        <v>103152899</v>
      </c>
      <c r="F167" s="1">
        <v>55657243</v>
      </c>
      <c r="G167" s="1">
        <v>2263715</v>
      </c>
      <c r="H167" s="1">
        <v>40905330</v>
      </c>
      <c r="I167" s="1">
        <v>4326611</v>
      </c>
      <c r="J167">
        <v>66</v>
      </c>
      <c r="K167">
        <v>96</v>
      </c>
      <c r="L167" t="s">
        <v>14</v>
      </c>
      <c r="M167">
        <f>mlb_payrolls[[#This Row],[Wins]] + mlb_payrolls[[#This Row],[Losses]]</f>
        <v>162</v>
      </c>
      <c r="N167" s="2">
        <f>IF(mlb_payrolls[[#This Row],[Games]] &gt;0, mlb_payrolls[[#This Row],[Wins]]/mlb_payrolls[[#This Row],[Games]], "")</f>
        <v>0.40740740740740738</v>
      </c>
      <c r="O167" s="1">
        <f>IFERROR(VALUE(mlb_payrolls[[#This Row],[Total Payroll Allocations]])/VALUE(mlb_payrolls[[#This Row],[Wins]]),"")</f>
        <v>1562922.7121212122</v>
      </c>
      <c r="P167" s="1">
        <f>SUM(mlb_payrolls[[#This Row],[Active 26-Man]],mlb_payrolls[[#This Row],[Injured]],mlb_payrolls[[#This Row],[Retained]],mlb_payrolls[[#This Row],[Buried]])</f>
        <v>103152899</v>
      </c>
      <c r="Q167" s="1">
        <f>mlb_payrolls[[#This Row],[Total Payroll Allocations]]-mlb_payrolls[[#This Row],[Payroll Parts Sum]]</f>
        <v>0</v>
      </c>
      <c r="R167" s="2">
        <f>IF(mlb_payrolls[[#This Row],[Total Payroll Allocations]]&gt;0, mlb_payrolls[[#This Row],[Active 26-Man]]/mlb_payrolls[[#This Row],[Total Payroll Allocations]],"")</f>
        <v>0.53956062834453156</v>
      </c>
      <c r="S167" s="2">
        <f>IF(mlb_payrolls[[#This Row],[Total Payroll Allocations]]&gt;0,mlb_payrolls[[#This Row],[Injured]]/mlb_payrolls[[#This Row],[Total Payroll Allocations]])</f>
        <v>2.1945238785775666E-2</v>
      </c>
      <c r="T167" s="3">
        <f>IF(mlb_payrolls[[#This Row],[Total Payroll Allocations]]&gt;0,mlb_payrolls[[#This Row],[Retained]]/mlb_payrolls[[#This Row],[Total Payroll Allocations]])</f>
        <v>0.39655046437424896</v>
      </c>
      <c r="U167" s="3">
        <f>IF(mlb_payrolls[[#This Row],[Total Payroll Allocations]]&gt;0,mlb_payrolls[[#This Row],[Buried]]/mlb_payrolls[[#This Row],[Total Payroll Allocations]])</f>
        <v>4.1943668495443835E-2</v>
      </c>
      <c r="V167">
        <f>IF(mlb_payrolls[[#This Row],[Postseason]]="No Playoffs",0,1)</f>
        <v>0</v>
      </c>
    </row>
    <row r="168" spans="1:22" x14ac:dyDescent="0.3">
      <c r="A168" t="s">
        <v>63</v>
      </c>
      <c r="B168" t="s">
        <v>64</v>
      </c>
      <c r="C168">
        <v>2011</v>
      </c>
      <c r="D168">
        <v>28</v>
      </c>
      <c r="E168" s="1">
        <v>103326721</v>
      </c>
      <c r="F168" s="1">
        <v>98857920</v>
      </c>
      <c r="G168" s="1">
        <v>0</v>
      </c>
      <c r="H168" s="1">
        <v>4468801</v>
      </c>
      <c r="I168" s="1">
        <v>0</v>
      </c>
      <c r="J168">
        <v>96</v>
      </c>
      <c r="K168">
        <v>66</v>
      </c>
      <c r="L168" t="s">
        <v>24</v>
      </c>
      <c r="M168">
        <f>mlb_payrolls[[#This Row],[Wins]] + mlb_payrolls[[#This Row],[Losses]]</f>
        <v>162</v>
      </c>
      <c r="N168" s="2">
        <f>IF(mlb_payrolls[[#This Row],[Games]] &gt;0, mlb_payrolls[[#This Row],[Wins]]/mlb_payrolls[[#This Row],[Games]], "")</f>
        <v>0.59259259259259256</v>
      </c>
      <c r="O168" s="1">
        <f>IFERROR(VALUE(mlb_payrolls[[#This Row],[Total Payroll Allocations]])/VALUE(mlb_payrolls[[#This Row],[Wins]]),"")</f>
        <v>1076320.0104166667</v>
      </c>
      <c r="P168" s="1">
        <f>SUM(mlb_payrolls[[#This Row],[Active 26-Man]],mlb_payrolls[[#This Row],[Injured]],mlb_payrolls[[#This Row],[Retained]],mlb_payrolls[[#This Row],[Buried]])</f>
        <v>103326721</v>
      </c>
      <c r="Q168" s="1">
        <f>mlb_payrolls[[#This Row],[Total Payroll Allocations]]-mlb_payrolls[[#This Row],[Payroll Parts Sum]]</f>
        <v>0</v>
      </c>
      <c r="R168" s="2">
        <f>IF(mlb_payrolls[[#This Row],[Total Payroll Allocations]]&gt;0, mlb_payrolls[[#This Row],[Active 26-Man]]/mlb_payrolls[[#This Row],[Total Payroll Allocations]],"")</f>
        <v>0.95675077117757368</v>
      </c>
      <c r="S168" s="2">
        <f>IF(mlb_payrolls[[#This Row],[Total Payroll Allocations]]&gt;0,mlb_payrolls[[#This Row],[Injured]]/mlb_payrolls[[#This Row],[Total Payroll Allocations]])</f>
        <v>0</v>
      </c>
      <c r="T168" s="3">
        <f>IF(mlb_payrolls[[#This Row],[Total Payroll Allocations]]&gt;0,mlb_payrolls[[#This Row],[Retained]]/mlb_payrolls[[#This Row],[Total Payroll Allocations]])</f>
        <v>4.3249228822426294E-2</v>
      </c>
      <c r="U168" s="3">
        <f>IF(mlb_payrolls[[#This Row],[Total Payroll Allocations]]&gt;0,mlb_payrolls[[#This Row],[Buried]]/mlb_payrolls[[#This Row],[Total Payroll Allocations]])</f>
        <v>0</v>
      </c>
      <c r="V168">
        <f>IF(mlb_payrolls[[#This Row],[Postseason]]="No Playoffs",0,1)</f>
        <v>1</v>
      </c>
    </row>
    <row r="169" spans="1:22" x14ac:dyDescent="0.3">
      <c r="A169" t="s">
        <v>41</v>
      </c>
      <c r="B169" t="s">
        <v>42</v>
      </c>
      <c r="C169">
        <v>2019</v>
      </c>
      <c r="D169">
        <v>25.6</v>
      </c>
      <c r="E169" s="1">
        <v>103699790</v>
      </c>
      <c r="F169" s="1">
        <v>65446794</v>
      </c>
      <c r="G169" s="1">
        <v>10746013</v>
      </c>
      <c r="H169" s="1">
        <v>25368956</v>
      </c>
      <c r="I169" s="1">
        <v>2138027</v>
      </c>
      <c r="J169">
        <v>70</v>
      </c>
      <c r="K169">
        <v>92</v>
      </c>
      <c r="L169" t="s">
        <v>14</v>
      </c>
      <c r="M169">
        <f>mlb_payrolls[[#This Row],[Wins]] + mlb_payrolls[[#This Row],[Losses]]</f>
        <v>162</v>
      </c>
      <c r="N169" s="2">
        <f>IF(mlb_payrolls[[#This Row],[Games]] &gt;0, mlb_payrolls[[#This Row],[Wins]]/mlb_payrolls[[#This Row],[Games]], "")</f>
        <v>0.43209876543209874</v>
      </c>
      <c r="O169" s="1">
        <f>IFERROR(VALUE(mlb_payrolls[[#This Row],[Total Payroll Allocations]])/VALUE(mlb_payrolls[[#This Row],[Wins]]),"")</f>
        <v>1481425.5714285714</v>
      </c>
      <c r="P169" s="1">
        <f>SUM(mlb_payrolls[[#This Row],[Active 26-Man]],mlb_payrolls[[#This Row],[Injured]],mlb_payrolls[[#This Row],[Retained]],mlb_payrolls[[#This Row],[Buried]])</f>
        <v>103699790</v>
      </c>
      <c r="Q169" s="1">
        <f>mlb_payrolls[[#This Row],[Total Payroll Allocations]]-mlb_payrolls[[#This Row],[Payroll Parts Sum]]</f>
        <v>0</v>
      </c>
      <c r="R169" s="2">
        <f>IF(mlb_payrolls[[#This Row],[Total Payroll Allocations]]&gt;0, mlb_payrolls[[#This Row],[Active 26-Man]]/mlb_payrolls[[#This Row],[Total Payroll Allocations]],"")</f>
        <v>0.63111790293885839</v>
      </c>
      <c r="S169" s="2">
        <f>IF(mlb_payrolls[[#This Row],[Total Payroll Allocations]]&gt;0,mlb_payrolls[[#This Row],[Injured]]/mlb_payrolls[[#This Row],[Total Payroll Allocations]])</f>
        <v>0.10362617899226219</v>
      </c>
      <c r="T169" s="3">
        <f>IF(mlb_payrolls[[#This Row],[Total Payroll Allocations]]&gt;0,mlb_payrolls[[#This Row],[Retained]]/mlb_payrolls[[#This Row],[Total Payroll Allocations]])</f>
        <v>0.24463845105182952</v>
      </c>
      <c r="U169" s="3">
        <f>IF(mlb_payrolls[[#This Row],[Total Payroll Allocations]]&gt;0,mlb_payrolls[[#This Row],[Buried]]/mlb_payrolls[[#This Row],[Total Payroll Allocations]])</f>
        <v>2.061746701704989E-2</v>
      </c>
      <c r="V169">
        <f>IF(mlb_payrolls[[#This Row],[Postseason]]="No Playoffs",0,1)</f>
        <v>0</v>
      </c>
    </row>
    <row r="170" spans="1:22" x14ac:dyDescent="0.3">
      <c r="A170" t="s">
        <v>29</v>
      </c>
      <c r="B170" t="s">
        <v>30</v>
      </c>
      <c r="C170">
        <v>2013</v>
      </c>
      <c r="D170">
        <v>28.3</v>
      </c>
      <c r="E170" s="1">
        <v>103804640</v>
      </c>
      <c r="F170" s="1">
        <v>97930597</v>
      </c>
      <c r="G170" s="1">
        <v>4500000</v>
      </c>
      <c r="H170" s="1">
        <v>0</v>
      </c>
      <c r="I170" s="1">
        <v>1374043</v>
      </c>
      <c r="J170">
        <v>90</v>
      </c>
      <c r="K170">
        <v>72</v>
      </c>
      <c r="L170" t="s">
        <v>21</v>
      </c>
      <c r="M170">
        <f>mlb_payrolls[[#This Row],[Wins]] + mlb_payrolls[[#This Row],[Losses]]</f>
        <v>162</v>
      </c>
      <c r="N170" s="2">
        <f>IF(mlb_payrolls[[#This Row],[Games]] &gt;0, mlb_payrolls[[#This Row],[Wins]]/mlb_payrolls[[#This Row],[Games]], "")</f>
        <v>0.55555555555555558</v>
      </c>
      <c r="O170" s="1">
        <f>IFERROR(VALUE(mlb_payrolls[[#This Row],[Total Payroll Allocations]])/VALUE(mlb_payrolls[[#This Row],[Wins]]),"")</f>
        <v>1153384.888888889</v>
      </c>
      <c r="P170" s="1">
        <f>SUM(mlb_payrolls[[#This Row],[Active 26-Man]],mlb_payrolls[[#This Row],[Injured]],mlb_payrolls[[#This Row],[Retained]],mlb_payrolls[[#This Row],[Buried]])</f>
        <v>103804640</v>
      </c>
      <c r="Q170" s="1">
        <f>mlb_payrolls[[#This Row],[Total Payroll Allocations]]-mlb_payrolls[[#This Row],[Payroll Parts Sum]]</f>
        <v>0</v>
      </c>
      <c r="R170" s="2">
        <f>IF(mlb_payrolls[[#This Row],[Total Payroll Allocations]]&gt;0, mlb_payrolls[[#This Row],[Active 26-Man]]/mlb_payrolls[[#This Row],[Total Payroll Allocations]],"")</f>
        <v>0.9434125199027712</v>
      </c>
      <c r="S170" s="2">
        <f>IF(mlb_payrolls[[#This Row],[Total Payroll Allocations]]&gt;0,mlb_payrolls[[#This Row],[Injured]]/mlb_payrolls[[#This Row],[Total Payroll Allocations]])</f>
        <v>4.3350663322949727E-2</v>
      </c>
      <c r="T170" s="3">
        <f>IF(mlb_payrolls[[#This Row],[Total Payroll Allocations]]&gt;0,mlb_payrolls[[#This Row],[Retained]]/mlb_payrolls[[#This Row],[Total Payroll Allocations]])</f>
        <v>0</v>
      </c>
      <c r="U170" s="3">
        <f>IF(mlb_payrolls[[#This Row],[Total Payroll Allocations]]&gt;0,mlb_payrolls[[#This Row],[Buried]]/mlb_payrolls[[#This Row],[Total Payroll Allocations]])</f>
        <v>1.3236816774279068E-2</v>
      </c>
      <c r="V170">
        <f>IF(mlb_payrolls[[#This Row],[Postseason]]="No Playoffs",0,1)</f>
        <v>1</v>
      </c>
    </row>
    <row r="171" spans="1:22" x14ac:dyDescent="0.3">
      <c r="A171" t="s">
        <v>55</v>
      </c>
      <c r="B171" t="s">
        <v>56</v>
      </c>
      <c r="C171">
        <v>2016</v>
      </c>
      <c r="D171">
        <v>26.8</v>
      </c>
      <c r="E171" s="1">
        <v>103898809</v>
      </c>
      <c r="F171" s="1">
        <v>53797706</v>
      </c>
      <c r="G171" s="1">
        <v>22025303</v>
      </c>
      <c r="H171" s="1">
        <v>21909132</v>
      </c>
      <c r="I171" s="1">
        <v>6166668</v>
      </c>
      <c r="J171">
        <v>71</v>
      </c>
      <c r="K171">
        <v>91</v>
      </c>
      <c r="L171" t="s">
        <v>14</v>
      </c>
      <c r="M171">
        <f>mlb_payrolls[[#This Row],[Wins]] + mlb_payrolls[[#This Row],[Losses]]</f>
        <v>162</v>
      </c>
      <c r="N171" s="2">
        <f>IF(mlb_payrolls[[#This Row],[Games]] &gt;0, mlb_payrolls[[#This Row],[Wins]]/mlb_payrolls[[#This Row],[Games]], "")</f>
        <v>0.43827160493827161</v>
      </c>
      <c r="O171" s="1">
        <f>IFERROR(VALUE(mlb_payrolls[[#This Row],[Total Payroll Allocations]])/VALUE(mlb_payrolls[[#This Row],[Wins]]),"")</f>
        <v>1463363.5070422536</v>
      </c>
      <c r="P171" s="1">
        <f>SUM(mlb_payrolls[[#This Row],[Active 26-Man]],mlb_payrolls[[#This Row],[Injured]],mlb_payrolls[[#This Row],[Retained]],mlb_payrolls[[#This Row],[Buried]])</f>
        <v>103898809</v>
      </c>
      <c r="Q171" s="1">
        <f>mlb_payrolls[[#This Row],[Total Payroll Allocations]]-mlb_payrolls[[#This Row],[Payroll Parts Sum]]</f>
        <v>0</v>
      </c>
      <c r="R171" s="2">
        <f>IF(mlb_payrolls[[#This Row],[Total Payroll Allocations]]&gt;0, mlb_payrolls[[#This Row],[Active 26-Man]]/mlb_payrolls[[#This Row],[Total Payroll Allocations]],"")</f>
        <v>0.51778943876055405</v>
      </c>
      <c r="S171" s="2">
        <f>IF(mlb_payrolls[[#This Row],[Total Payroll Allocations]]&gt;0,mlb_payrolls[[#This Row],[Injured]]/mlb_payrolls[[#This Row],[Total Payroll Allocations]])</f>
        <v>0.21198802192236871</v>
      </c>
      <c r="T171" s="3">
        <f>IF(mlb_payrolls[[#This Row],[Total Payroll Allocations]]&gt;0,mlb_payrolls[[#This Row],[Retained]]/mlb_payrolls[[#This Row],[Total Payroll Allocations]])</f>
        <v>0.21086990515935558</v>
      </c>
      <c r="U171" s="3">
        <f>IF(mlb_payrolls[[#This Row],[Total Payroll Allocations]]&gt;0,mlb_payrolls[[#This Row],[Buried]]/mlb_payrolls[[#This Row],[Total Payroll Allocations]])</f>
        <v>5.935263415772167E-2</v>
      </c>
      <c r="V171">
        <f>IF(mlb_payrolls[[#This Row],[Postseason]]="No Playoffs",0,1)</f>
        <v>0</v>
      </c>
    </row>
    <row r="172" spans="1:22" x14ac:dyDescent="0.3">
      <c r="A172" t="s">
        <v>33</v>
      </c>
      <c r="B172" t="s">
        <v>34</v>
      </c>
      <c r="C172">
        <v>2024</v>
      </c>
      <c r="D172">
        <v>26.9</v>
      </c>
      <c r="E172" s="1">
        <v>103945407</v>
      </c>
      <c r="F172" s="1">
        <v>60351144</v>
      </c>
      <c r="G172" s="1">
        <v>26347303</v>
      </c>
      <c r="H172" s="1">
        <v>14212004</v>
      </c>
      <c r="I172" s="1">
        <v>2847990</v>
      </c>
      <c r="J172">
        <v>71</v>
      </c>
      <c r="K172">
        <v>91</v>
      </c>
      <c r="L172" t="s">
        <v>14</v>
      </c>
      <c r="M172">
        <f>mlb_payrolls[[#This Row],[Wins]] + mlb_payrolls[[#This Row],[Losses]]</f>
        <v>162</v>
      </c>
      <c r="N172" s="2">
        <f>IF(mlb_payrolls[[#This Row],[Games]] &gt;0, mlb_payrolls[[#This Row],[Wins]]/mlb_payrolls[[#This Row],[Games]], "")</f>
        <v>0.43827160493827161</v>
      </c>
      <c r="O172" s="1">
        <f>IFERROR(VALUE(mlb_payrolls[[#This Row],[Total Payroll Allocations]])/VALUE(mlb_payrolls[[#This Row],[Wins]]),"")</f>
        <v>1464019.8169014084</v>
      </c>
      <c r="P172" s="1">
        <f>SUM(mlb_payrolls[[#This Row],[Active 26-Man]],mlb_payrolls[[#This Row],[Injured]],mlb_payrolls[[#This Row],[Retained]],mlb_payrolls[[#This Row],[Buried]])</f>
        <v>103758441</v>
      </c>
      <c r="Q172" s="1">
        <f>mlb_payrolls[[#This Row],[Total Payroll Allocations]]-mlb_payrolls[[#This Row],[Payroll Parts Sum]]</f>
        <v>186966</v>
      </c>
      <c r="R172" s="2">
        <f>IF(mlb_payrolls[[#This Row],[Total Payroll Allocations]]&gt;0, mlb_payrolls[[#This Row],[Active 26-Man]]/mlb_payrolls[[#This Row],[Total Payroll Allocations]],"")</f>
        <v>0.58060423968516472</v>
      </c>
      <c r="S172" s="2">
        <f>IF(mlb_payrolls[[#This Row],[Total Payroll Allocations]]&gt;0,mlb_payrolls[[#This Row],[Injured]]/mlb_payrolls[[#This Row],[Total Payroll Allocations]])</f>
        <v>0.2534725079290901</v>
      </c>
      <c r="T172" s="3">
        <f>IF(mlb_payrolls[[#This Row],[Total Payroll Allocations]]&gt;0,mlb_payrolls[[#This Row],[Retained]]/mlb_payrolls[[#This Row],[Total Payroll Allocations]])</f>
        <v>0.13672565638229692</v>
      </c>
      <c r="U172" s="3">
        <f>IF(mlb_payrolls[[#This Row],[Total Payroll Allocations]]&gt;0,mlb_payrolls[[#This Row],[Buried]]/mlb_payrolls[[#This Row],[Total Payroll Allocations]])</f>
        <v>2.7398901810062663E-2</v>
      </c>
      <c r="V172">
        <f>IF(mlb_payrolls[[#This Row],[Postseason]]="No Playoffs",0,1)</f>
        <v>0</v>
      </c>
    </row>
    <row r="173" spans="1:22" x14ac:dyDescent="0.3">
      <c r="A173" t="s">
        <v>31</v>
      </c>
      <c r="B173" t="s">
        <v>32</v>
      </c>
      <c r="C173">
        <v>2019</v>
      </c>
      <c r="D173">
        <v>26.2</v>
      </c>
      <c r="E173" s="1">
        <v>103973003</v>
      </c>
      <c r="F173" s="1">
        <v>68625332</v>
      </c>
      <c r="G173" s="1">
        <v>11895598</v>
      </c>
      <c r="H173" s="1">
        <v>23207385</v>
      </c>
      <c r="I173" s="1">
        <v>244688</v>
      </c>
      <c r="J173">
        <v>59</v>
      </c>
      <c r="K173">
        <v>103</v>
      </c>
      <c r="L173" t="s">
        <v>14</v>
      </c>
      <c r="M173">
        <f>mlb_payrolls[[#This Row],[Wins]] + mlb_payrolls[[#This Row],[Losses]]</f>
        <v>162</v>
      </c>
      <c r="N173" s="2">
        <f>IF(mlb_payrolls[[#This Row],[Games]] &gt;0, mlb_payrolls[[#This Row],[Wins]]/mlb_payrolls[[#This Row],[Games]], "")</f>
        <v>0.36419753086419754</v>
      </c>
      <c r="O173" s="1">
        <f>IFERROR(VALUE(mlb_payrolls[[#This Row],[Total Payroll Allocations]])/VALUE(mlb_payrolls[[#This Row],[Wins]]),"")</f>
        <v>1762254.2881355933</v>
      </c>
      <c r="P173" s="1">
        <f>SUM(mlb_payrolls[[#This Row],[Active 26-Man]],mlb_payrolls[[#This Row],[Injured]],mlb_payrolls[[#This Row],[Retained]],mlb_payrolls[[#This Row],[Buried]])</f>
        <v>103973003</v>
      </c>
      <c r="Q173" s="1">
        <f>mlb_payrolls[[#This Row],[Total Payroll Allocations]]-mlb_payrolls[[#This Row],[Payroll Parts Sum]]</f>
        <v>0</v>
      </c>
      <c r="R173" s="2">
        <f>IF(mlb_payrolls[[#This Row],[Total Payroll Allocations]]&gt;0, mlb_payrolls[[#This Row],[Active 26-Man]]/mlb_payrolls[[#This Row],[Total Payroll Allocations]],"")</f>
        <v>0.66003029651841449</v>
      </c>
      <c r="S173" s="2">
        <f>IF(mlb_payrolls[[#This Row],[Total Payroll Allocations]]&gt;0,mlb_payrolls[[#This Row],[Injured]]/mlb_payrolls[[#This Row],[Total Payroll Allocations]])</f>
        <v>0.11441044941252683</v>
      </c>
      <c r="T173" s="3">
        <f>IF(mlb_payrolls[[#This Row],[Total Payroll Allocations]]&gt;0,mlb_payrolls[[#This Row],[Retained]]/mlb_payrolls[[#This Row],[Total Payroll Allocations]])</f>
        <v>0.22320587393248612</v>
      </c>
      <c r="U173" s="3">
        <f>IF(mlb_payrolls[[#This Row],[Total Payroll Allocations]]&gt;0,mlb_payrolls[[#This Row],[Buried]]/mlb_payrolls[[#This Row],[Total Payroll Allocations]])</f>
        <v>2.3533801365725679E-3</v>
      </c>
      <c r="V173">
        <f>IF(mlb_payrolls[[#This Row],[Postseason]]="No Playoffs",0,1)</f>
        <v>0</v>
      </c>
    </row>
    <row r="174" spans="1:22" x14ac:dyDescent="0.3">
      <c r="A174" t="s">
        <v>55</v>
      </c>
      <c r="B174" t="s">
        <v>56</v>
      </c>
      <c r="C174">
        <v>2017</v>
      </c>
      <c r="D174">
        <v>25.7</v>
      </c>
      <c r="E174" s="1">
        <v>104020808</v>
      </c>
      <c r="F174" s="1">
        <v>28213540</v>
      </c>
      <c r="G174" s="1">
        <v>16578578</v>
      </c>
      <c r="H174" s="1">
        <v>58889622</v>
      </c>
      <c r="I174" s="1">
        <v>339068</v>
      </c>
      <c r="J174">
        <v>66</v>
      </c>
      <c r="K174">
        <v>96</v>
      </c>
      <c r="L174" t="s">
        <v>14</v>
      </c>
      <c r="M174">
        <f>mlb_payrolls[[#This Row],[Wins]] + mlb_payrolls[[#This Row],[Losses]]</f>
        <v>162</v>
      </c>
      <c r="N174" s="2">
        <f>IF(mlb_payrolls[[#This Row],[Games]] &gt;0, mlb_payrolls[[#This Row],[Wins]]/mlb_payrolls[[#This Row],[Games]], "")</f>
        <v>0.40740740740740738</v>
      </c>
      <c r="O174" s="1">
        <f>IFERROR(VALUE(mlb_payrolls[[#This Row],[Total Payroll Allocations]])/VALUE(mlb_payrolls[[#This Row],[Wins]]),"")</f>
        <v>1576072.8484848484</v>
      </c>
      <c r="P174" s="1">
        <f>SUM(mlb_payrolls[[#This Row],[Active 26-Man]],mlb_payrolls[[#This Row],[Injured]],mlb_payrolls[[#This Row],[Retained]],mlb_payrolls[[#This Row],[Buried]])</f>
        <v>104020808</v>
      </c>
      <c r="Q174" s="1">
        <f>mlb_payrolls[[#This Row],[Total Payroll Allocations]]-mlb_payrolls[[#This Row],[Payroll Parts Sum]]</f>
        <v>0</v>
      </c>
      <c r="R174" s="2">
        <f>IF(mlb_payrolls[[#This Row],[Total Payroll Allocations]]&gt;0, mlb_payrolls[[#This Row],[Active 26-Man]]/mlb_payrolls[[#This Row],[Total Payroll Allocations]],"")</f>
        <v>0.27122977164338119</v>
      </c>
      <c r="S174" s="2">
        <f>IF(mlb_payrolls[[#This Row],[Total Payroll Allocations]]&gt;0,mlb_payrolls[[#This Row],[Injured]]/mlb_payrolls[[#This Row],[Total Payroll Allocations]])</f>
        <v>0.15937751608312828</v>
      </c>
      <c r="T174" s="3">
        <f>IF(mlb_payrolls[[#This Row],[Total Payroll Allocations]]&gt;0,mlb_payrolls[[#This Row],[Retained]]/mlb_payrolls[[#This Row],[Total Payroll Allocations]])</f>
        <v>0.56613309521687238</v>
      </c>
      <c r="U174" s="3">
        <f>IF(mlb_payrolls[[#This Row],[Total Payroll Allocations]]&gt;0,mlb_payrolls[[#This Row],[Buried]]/mlb_payrolls[[#This Row],[Total Payroll Allocations]])</f>
        <v>3.2596170566181336E-3</v>
      </c>
      <c r="V174">
        <f>IF(mlb_payrolls[[#This Row],[Postseason]]="No Playoffs",0,1)</f>
        <v>0</v>
      </c>
    </row>
    <row r="175" spans="1:22" x14ac:dyDescent="0.3">
      <c r="A175" t="s">
        <v>55</v>
      </c>
      <c r="B175" t="s">
        <v>56</v>
      </c>
      <c r="C175">
        <v>2018</v>
      </c>
      <c r="D175">
        <v>27</v>
      </c>
      <c r="E175" s="1">
        <v>104297471</v>
      </c>
      <c r="F175" s="1">
        <v>97016347</v>
      </c>
      <c r="G175" s="1">
        <v>0</v>
      </c>
      <c r="H175" s="1">
        <v>6936684</v>
      </c>
      <c r="I175" s="1">
        <v>344440</v>
      </c>
      <c r="J175">
        <v>80</v>
      </c>
      <c r="K175">
        <v>82</v>
      </c>
      <c r="L175" t="s">
        <v>14</v>
      </c>
      <c r="M175">
        <f>mlb_payrolls[[#This Row],[Wins]] + mlb_payrolls[[#This Row],[Losses]]</f>
        <v>162</v>
      </c>
      <c r="N175" s="2">
        <f>IF(mlb_payrolls[[#This Row],[Games]] &gt;0, mlb_payrolls[[#This Row],[Wins]]/mlb_payrolls[[#This Row],[Games]], "")</f>
        <v>0.49382716049382713</v>
      </c>
      <c r="O175" s="1">
        <f>IFERROR(VALUE(mlb_payrolls[[#This Row],[Total Payroll Allocations]])/VALUE(mlb_payrolls[[#This Row],[Wins]]),"")</f>
        <v>1303718.3875</v>
      </c>
      <c r="P175" s="1">
        <f>SUM(mlb_payrolls[[#This Row],[Active 26-Man]],mlb_payrolls[[#This Row],[Injured]],mlb_payrolls[[#This Row],[Retained]],mlb_payrolls[[#This Row],[Buried]])</f>
        <v>104297471</v>
      </c>
      <c r="Q175" s="1">
        <f>mlb_payrolls[[#This Row],[Total Payroll Allocations]]-mlb_payrolls[[#This Row],[Payroll Parts Sum]]</f>
        <v>0</v>
      </c>
      <c r="R175" s="2">
        <f>IF(mlb_payrolls[[#This Row],[Total Payroll Allocations]]&gt;0, mlb_payrolls[[#This Row],[Active 26-Man]]/mlb_payrolls[[#This Row],[Total Payroll Allocations]],"")</f>
        <v>0.93018887294016939</v>
      </c>
      <c r="S175" s="2">
        <f>IF(mlb_payrolls[[#This Row],[Total Payroll Allocations]]&gt;0,mlb_payrolls[[#This Row],[Injured]]/mlb_payrolls[[#This Row],[Total Payroll Allocations]])</f>
        <v>0</v>
      </c>
      <c r="T175" s="3">
        <f>IF(mlb_payrolls[[#This Row],[Total Payroll Allocations]]&gt;0,mlb_payrolls[[#This Row],[Retained]]/mlb_payrolls[[#This Row],[Total Payroll Allocations]])</f>
        <v>6.6508650051543439E-2</v>
      </c>
      <c r="U175" s="3">
        <f>IF(mlb_payrolls[[#This Row],[Total Payroll Allocations]]&gt;0,mlb_payrolls[[#This Row],[Buried]]/mlb_payrolls[[#This Row],[Total Payroll Allocations]])</f>
        <v>3.3024770082871902E-3</v>
      </c>
      <c r="V175">
        <f>IF(mlb_payrolls[[#This Row],[Postseason]]="No Playoffs",0,1)</f>
        <v>0</v>
      </c>
    </row>
    <row r="176" spans="1:22" x14ac:dyDescent="0.3">
      <c r="A176" t="s">
        <v>22</v>
      </c>
      <c r="B176" t="s">
        <v>23</v>
      </c>
      <c r="C176">
        <v>2016</v>
      </c>
      <c r="D176">
        <v>28.1</v>
      </c>
      <c r="E176" s="1">
        <v>104971268</v>
      </c>
      <c r="F176" s="1">
        <v>61284062</v>
      </c>
      <c r="G176" s="1">
        <v>11875000</v>
      </c>
      <c r="H176" s="1">
        <v>30765065</v>
      </c>
      <c r="I176" s="1">
        <v>47141</v>
      </c>
      <c r="J176">
        <v>94</v>
      </c>
      <c r="K176">
        <v>67</v>
      </c>
      <c r="L176" t="s">
        <v>24</v>
      </c>
      <c r="M176">
        <f>mlb_payrolls[[#This Row],[Wins]] + mlb_payrolls[[#This Row],[Losses]]</f>
        <v>161</v>
      </c>
      <c r="N176" s="2">
        <f>IF(mlb_payrolls[[#This Row],[Games]] &gt;0, mlb_payrolls[[#This Row],[Wins]]/mlb_payrolls[[#This Row],[Games]], "")</f>
        <v>0.58385093167701863</v>
      </c>
      <c r="O176" s="1">
        <f>IFERROR(VALUE(mlb_payrolls[[#This Row],[Total Payroll Allocations]])/VALUE(mlb_payrolls[[#This Row],[Wins]]),"")</f>
        <v>1116715.6170212766</v>
      </c>
      <c r="P176" s="1">
        <f>SUM(mlb_payrolls[[#This Row],[Active 26-Man]],mlb_payrolls[[#This Row],[Injured]],mlb_payrolls[[#This Row],[Retained]],mlb_payrolls[[#This Row],[Buried]])</f>
        <v>103971268</v>
      </c>
      <c r="Q176" s="1">
        <f>mlb_payrolls[[#This Row],[Total Payroll Allocations]]-mlb_payrolls[[#This Row],[Payroll Parts Sum]]</f>
        <v>1000000</v>
      </c>
      <c r="R176" s="2">
        <f>IF(mlb_payrolls[[#This Row],[Total Payroll Allocations]]&gt;0, mlb_payrolls[[#This Row],[Active 26-Man]]/mlb_payrolls[[#This Row],[Total Payroll Allocations]],"")</f>
        <v>0.58381748803872691</v>
      </c>
      <c r="S176" s="2">
        <f>IF(mlb_payrolls[[#This Row],[Total Payroll Allocations]]&gt;0,mlb_payrolls[[#This Row],[Injured]]/mlb_payrolls[[#This Row],[Total Payroll Allocations]])</f>
        <v>0.11312619373141229</v>
      </c>
      <c r="T176" s="3">
        <f>IF(mlb_payrolls[[#This Row],[Total Payroll Allocations]]&gt;0,mlb_payrolls[[#This Row],[Retained]]/mlb_payrolls[[#This Row],[Total Payroll Allocations]])</f>
        <v>0.29308081712416773</v>
      </c>
      <c r="U176" s="3">
        <f>IF(mlb_payrolls[[#This Row],[Total Payroll Allocations]]&gt;0,mlb_payrolls[[#This Row],[Buried]]/mlb_payrolls[[#This Row],[Total Payroll Allocations]])</f>
        <v>4.4908479146884271E-4</v>
      </c>
      <c r="V176">
        <f>IF(mlb_payrolls[[#This Row],[Postseason]]="No Playoffs",0,1)</f>
        <v>1</v>
      </c>
    </row>
    <row r="177" spans="1:22" x14ac:dyDescent="0.3">
      <c r="A177" t="s">
        <v>73</v>
      </c>
      <c r="B177" t="s">
        <v>74</v>
      </c>
      <c r="C177">
        <v>2012</v>
      </c>
      <c r="D177">
        <v>27.4</v>
      </c>
      <c r="E177" s="1">
        <v>104988166</v>
      </c>
      <c r="F177" s="1">
        <v>101049642</v>
      </c>
      <c r="G177" s="1">
        <v>0</v>
      </c>
      <c r="H177" s="1">
        <v>3938524</v>
      </c>
      <c r="I177" s="1">
        <v>0</v>
      </c>
      <c r="J177">
        <v>74</v>
      </c>
      <c r="K177">
        <v>88</v>
      </c>
      <c r="L177" t="s">
        <v>14</v>
      </c>
      <c r="M177">
        <f>mlb_payrolls[[#This Row],[Wins]] + mlb_payrolls[[#This Row],[Losses]]</f>
        <v>162</v>
      </c>
      <c r="N177" s="2">
        <f>IF(mlb_payrolls[[#This Row],[Games]] &gt;0, mlb_payrolls[[#This Row],[Wins]]/mlb_payrolls[[#This Row],[Games]], "")</f>
        <v>0.4567901234567901</v>
      </c>
      <c r="O177" s="1">
        <f>IFERROR(VALUE(mlb_payrolls[[#This Row],[Total Payroll Allocations]])/VALUE(mlb_payrolls[[#This Row],[Wins]]),"")</f>
        <v>1418759</v>
      </c>
      <c r="P177" s="1">
        <f>SUM(mlb_payrolls[[#This Row],[Active 26-Man]],mlb_payrolls[[#This Row],[Injured]],mlb_payrolls[[#This Row],[Retained]],mlb_payrolls[[#This Row],[Buried]])</f>
        <v>104988166</v>
      </c>
      <c r="Q177" s="1">
        <f>mlb_payrolls[[#This Row],[Total Payroll Allocations]]-mlb_payrolls[[#This Row],[Payroll Parts Sum]]</f>
        <v>0</v>
      </c>
      <c r="R177" s="2">
        <f>IF(mlb_payrolls[[#This Row],[Total Payroll Allocations]]&gt;0, mlb_payrolls[[#This Row],[Active 26-Man]]/mlb_payrolls[[#This Row],[Total Payroll Allocations]],"")</f>
        <v>0.96248601961482017</v>
      </c>
      <c r="S177" s="2">
        <f>IF(mlb_payrolls[[#This Row],[Total Payroll Allocations]]&gt;0,mlb_payrolls[[#This Row],[Injured]]/mlb_payrolls[[#This Row],[Total Payroll Allocations]])</f>
        <v>0</v>
      </c>
      <c r="T177" s="3">
        <f>IF(mlb_payrolls[[#This Row],[Total Payroll Allocations]]&gt;0,mlb_payrolls[[#This Row],[Retained]]/mlb_payrolls[[#This Row],[Total Payroll Allocations]])</f>
        <v>3.7513980385179793E-2</v>
      </c>
      <c r="U177" s="3">
        <f>IF(mlb_payrolls[[#This Row],[Total Payroll Allocations]]&gt;0,mlb_payrolls[[#This Row],[Buried]]/mlb_payrolls[[#This Row],[Total Payroll Allocations]])</f>
        <v>0</v>
      </c>
      <c r="V177">
        <f>IF(mlb_payrolls[[#This Row],[Postseason]]="No Playoffs",0,1)</f>
        <v>0</v>
      </c>
    </row>
    <row r="178" spans="1:22" x14ac:dyDescent="0.3">
      <c r="A178" t="s">
        <v>22</v>
      </c>
      <c r="B178" t="s">
        <v>23</v>
      </c>
      <c r="C178">
        <v>2024</v>
      </c>
      <c r="D178">
        <v>26.3</v>
      </c>
      <c r="E178" s="1">
        <v>105224582</v>
      </c>
      <c r="F178" s="1">
        <v>50885032</v>
      </c>
      <c r="G178" s="1">
        <v>21120833</v>
      </c>
      <c r="H178" s="1">
        <v>22945837</v>
      </c>
      <c r="I178" s="1">
        <v>10272880</v>
      </c>
      <c r="J178">
        <v>92</v>
      </c>
      <c r="K178">
        <v>69</v>
      </c>
      <c r="L178" t="s">
        <v>24</v>
      </c>
      <c r="M178">
        <f>mlb_payrolls[[#This Row],[Wins]] + mlb_payrolls[[#This Row],[Losses]]</f>
        <v>161</v>
      </c>
      <c r="N178" s="2">
        <f>IF(mlb_payrolls[[#This Row],[Games]] &gt;0, mlb_payrolls[[#This Row],[Wins]]/mlb_payrolls[[#This Row],[Games]], "")</f>
        <v>0.5714285714285714</v>
      </c>
      <c r="O178" s="1">
        <f>IFERROR(VALUE(mlb_payrolls[[#This Row],[Total Payroll Allocations]])/VALUE(mlb_payrolls[[#This Row],[Wins]]),"")</f>
        <v>1143745.456521739</v>
      </c>
      <c r="P178" s="1">
        <f>SUM(mlb_payrolls[[#This Row],[Active 26-Man]],mlb_payrolls[[#This Row],[Injured]],mlb_payrolls[[#This Row],[Retained]],mlb_payrolls[[#This Row],[Buried]])</f>
        <v>105224582</v>
      </c>
      <c r="Q178" s="1">
        <f>mlb_payrolls[[#This Row],[Total Payroll Allocations]]-mlb_payrolls[[#This Row],[Payroll Parts Sum]]</f>
        <v>0</v>
      </c>
      <c r="R178" s="2">
        <f>IF(mlb_payrolls[[#This Row],[Total Payroll Allocations]]&gt;0, mlb_payrolls[[#This Row],[Active 26-Man]]/mlb_payrolls[[#This Row],[Total Payroll Allocations]],"")</f>
        <v>0.48358502388728902</v>
      </c>
      <c r="S178" s="2">
        <f>IF(mlb_payrolls[[#This Row],[Total Payroll Allocations]]&gt;0,mlb_payrolls[[#This Row],[Injured]]/mlb_payrolls[[#This Row],[Total Payroll Allocations]])</f>
        <v>0.20072147209860144</v>
      </c>
      <c r="T178" s="3">
        <f>IF(mlb_payrolls[[#This Row],[Total Payroll Allocations]]&gt;0,mlb_payrolls[[#This Row],[Retained]]/mlb_payrolls[[#This Row],[Total Payroll Allocations]])</f>
        <v>0.21806536613279204</v>
      </c>
      <c r="U178" s="3">
        <f>IF(mlb_payrolls[[#This Row],[Total Payroll Allocations]]&gt;0,mlb_payrolls[[#This Row],[Buried]]/mlb_payrolls[[#This Row],[Total Payroll Allocations]])</f>
        <v>9.7628137881317509E-2</v>
      </c>
      <c r="V178">
        <f>IF(mlb_payrolls[[#This Row],[Postseason]]="No Playoffs",0,1)</f>
        <v>1</v>
      </c>
    </row>
    <row r="179" spans="1:22" x14ac:dyDescent="0.3">
      <c r="A179" t="s">
        <v>57</v>
      </c>
      <c r="B179" t="s">
        <v>58</v>
      </c>
      <c r="C179">
        <v>2017</v>
      </c>
      <c r="D179">
        <v>27.5</v>
      </c>
      <c r="E179" s="1">
        <v>105268575</v>
      </c>
      <c r="F179" s="1">
        <v>81963434</v>
      </c>
      <c r="G179" s="1">
        <v>1997766</v>
      </c>
      <c r="H179" s="1">
        <v>21037983</v>
      </c>
      <c r="I179" s="1">
        <v>269392</v>
      </c>
      <c r="J179">
        <v>72</v>
      </c>
      <c r="K179">
        <v>90</v>
      </c>
      <c r="L179" t="s">
        <v>14</v>
      </c>
      <c r="M179">
        <f>mlb_payrolls[[#This Row],[Wins]] + mlb_payrolls[[#This Row],[Losses]]</f>
        <v>162</v>
      </c>
      <c r="N179" s="2">
        <f>IF(mlb_payrolls[[#This Row],[Games]] &gt;0, mlb_payrolls[[#This Row],[Wins]]/mlb_payrolls[[#This Row],[Games]], "")</f>
        <v>0.44444444444444442</v>
      </c>
      <c r="O179" s="1">
        <f>IFERROR(VALUE(mlb_payrolls[[#This Row],[Total Payroll Allocations]])/VALUE(mlb_payrolls[[#This Row],[Wins]]),"")</f>
        <v>1462063.5416666667</v>
      </c>
      <c r="P179" s="1">
        <f>SUM(mlb_payrolls[[#This Row],[Active 26-Man]],mlb_payrolls[[#This Row],[Injured]],mlb_payrolls[[#This Row],[Retained]],mlb_payrolls[[#This Row],[Buried]])</f>
        <v>105268575</v>
      </c>
      <c r="Q179" s="1">
        <f>mlb_payrolls[[#This Row],[Total Payroll Allocations]]-mlb_payrolls[[#This Row],[Payroll Parts Sum]]</f>
        <v>0</v>
      </c>
      <c r="R179" s="2">
        <f>IF(mlb_payrolls[[#This Row],[Total Payroll Allocations]]&gt;0, mlb_payrolls[[#This Row],[Active 26-Man]]/mlb_payrolls[[#This Row],[Total Payroll Allocations]],"")</f>
        <v>0.77861255365145776</v>
      </c>
      <c r="S179" s="2">
        <f>IF(mlb_payrolls[[#This Row],[Total Payroll Allocations]]&gt;0,mlb_payrolls[[#This Row],[Injured]]/mlb_payrolls[[#This Row],[Total Payroll Allocations]])</f>
        <v>1.8977800354949233E-2</v>
      </c>
      <c r="T179" s="3">
        <f>IF(mlb_payrolls[[#This Row],[Total Payroll Allocations]]&gt;0,mlb_payrolls[[#This Row],[Retained]]/mlb_payrolls[[#This Row],[Total Payroll Allocations]])</f>
        <v>0.19985055369088067</v>
      </c>
      <c r="U179" s="3">
        <f>IF(mlb_payrolls[[#This Row],[Total Payroll Allocations]]&gt;0,mlb_payrolls[[#This Row],[Buried]]/mlb_payrolls[[#This Row],[Total Payroll Allocations]])</f>
        <v>2.5590923027123715E-3</v>
      </c>
      <c r="V179">
        <f>IF(mlb_payrolls[[#This Row],[Postseason]]="No Playoffs",0,1)</f>
        <v>0</v>
      </c>
    </row>
    <row r="180" spans="1:22" x14ac:dyDescent="0.3">
      <c r="A180" t="s">
        <v>35</v>
      </c>
      <c r="B180" t="s">
        <v>36</v>
      </c>
      <c r="C180">
        <v>2023</v>
      </c>
      <c r="D180">
        <v>28.7</v>
      </c>
      <c r="E180" s="1">
        <v>105435809</v>
      </c>
      <c r="F180" s="1">
        <v>59782517</v>
      </c>
      <c r="G180" s="1">
        <v>25595861</v>
      </c>
      <c r="H180" s="1">
        <v>10698514</v>
      </c>
      <c r="I180" s="1">
        <v>1158917</v>
      </c>
      <c r="J180">
        <v>84</v>
      </c>
      <c r="K180">
        <v>78</v>
      </c>
      <c r="L180" t="s">
        <v>14</v>
      </c>
      <c r="M180">
        <f>mlb_payrolls[[#This Row],[Wins]] + mlb_payrolls[[#This Row],[Losses]]</f>
        <v>162</v>
      </c>
      <c r="N180" s="2">
        <f>IF(mlb_payrolls[[#This Row],[Games]] &gt;0, mlb_payrolls[[#This Row],[Wins]]/mlb_payrolls[[#This Row],[Games]], "")</f>
        <v>0.51851851851851849</v>
      </c>
      <c r="O180" s="1">
        <f>IFERROR(VALUE(mlb_payrolls[[#This Row],[Total Payroll Allocations]])/VALUE(mlb_payrolls[[#This Row],[Wins]]),"")</f>
        <v>1255188.2023809524</v>
      </c>
      <c r="P180" s="1">
        <f>SUM(mlb_payrolls[[#This Row],[Active 26-Man]],mlb_payrolls[[#This Row],[Injured]],mlb_payrolls[[#This Row],[Retained]],mlb_payrolls[[#This Row],[Buried]])</f>
        <v>97235809</v>
      </c>
      <c r="Q180" s="1">
        <f>mlb_payrolls[[#This Row],[Total Payroll Allocations]]-mlb_payrolls[[#This Row],[Payroll Parts Sum]]</f>
        <v>8200000</v>
      </c>
      <c r="R180" s="2">
        <f>IF(mlb_payrolls[[#This Row],[Total Payroll Allocations]]&gt;0, mlb_payrolls[[#This Row],[Active 26-Man]]/mlb_payrolls[[#This Row],[Total Payroll Allocations]],"")</f>
        <v>0.56700391989214971</v>
      </c>
      <c r="S180" s="2">
        <f>IF(mlb_payrolls[[#This Row],[Total Payroll Allocations]]&gt;0,mlb_payrolls[[#This Row],[Injured]]/mlb_payrolls[[#This Row],[Total Payroll Allocations]])</f>
        <v>0.24276250396105939</v>
      </c>
      <c r="T180" s="3">
        <f>IF(mlb_payrolls[[#This Row],[Total Payroll Allocations]]&gt;0,mlb_payrolls[[#This Row],[Retained]]/mlb_payrolls[[#This Row],[Total Payroll Allocations]])</f>
        <v>0.10146945427240948</v>
      </c>
      <c r="U180" s="3">
        <f>IF(mlb_payrolls[[#This Row],[Total Payroll Allocations]]&gt;0,mlb_payrolls[[#This Row],[Buried]]/mlb_payrolls[[#This Row],[Total Payroll Allocations]])</f>
        <v>1.0991683100757543E-2</v>
      </c>
      <c r="V180">
        <f>IF(mlb_payrolls[[#This Row],[Postseason]]="No Playoffs",0,1)</f>
        <v>0</v>
      </c>
    </row>
    <row r="181" spans="1:22" x14ac:dyDescent="0.3">
      <c r="A181" t="s">
        <v>37</v>
      </c>
      <c r="B181" t="s">
        <v>38</v>
      </c>
      <c r="C181">
        <v>2015</v>
      </c>
      <c r="D181">
        <v>28.1</v>
      </c>
      <c r="E181" s="1">
        <v>106231818</v>
      </c>
      <c r="F181" s="1">
        <v>101448147</v>
      </c>
      <c r="G181" s="1">
        <v>2070081</v>
      </c>
      <c r="H181" s="1">
        <v>2200000</v>
      </c>
      <c r="I181" s="1">
        <v>513590</v>
      </c>
      <c r="J181">
        <v>83</v>
      </c>
      <c r="K181">
        <v>79</v>
      </c>
      <c r="L181" t="s">
        <v>14</v>
      </c>
      <c r="M181">
        <f>mlb_payrolls[[#This Row],[Wins]] + mlb_payrolls[[#This Row],[Losses]]</f>
        <v>162</v>
      </c>
      <c r="N181" s="2">
        <f>IF(mlb_payrolls[[#This Row],[Games]] &gt;0, mlb_payrolls[[#This Row],[Wins]]/mlb_payrolls[[#This Row],[Games]], "")</f>
        <v>0.51234567901234573</v>
      </c>
      <c r="O181" s="1">
        <f>IFERROR(VALUE(mlb_payrolls[[#This Row],[Total Payroll Allocations]])/VALUE(mlb_payrolls[[#This Row],[Wins]]),"")</f>
        <v>1279901.4216867469</v>
      </c>
      <c r="P181" s="1">
        <f>SUM(mlb_payrolls[[#This Row],[Active 26-Man]],mlb_payrolls[[#This Row],[Injured]],mlb_payrolls[[#This Row],[Retained]],mlb_payrolls[[#This Row],[Buried]])</f>
        <v>106231818</v>
      </c>
      <c r="Q181" s="1">
        <f>mlb_payrolls[[#This Row],[Total Payroll Allocations]]-mlb_payrolls[[#This Row],[Payroll Parts Sum]]</f>
        <v>0</v>
      </c>
      <c r="R181" s="2">
        <f>IF(mlb_payrolls[[#This Row],[Total Payroll Allocations]]&gt;0, mlb_payrolls[[#This Row],[Active 26-Man]]/mlb_payrolls[[#This Row],[Total Payroll Allocations]],"")</f>
        <v>0.95496950828799709</v>
      </c>
      <c r="S181" s="2">
        <f>IF(mlb_payrolls[[#This Row],[Total Payroll Allocations]]&gt;0,mlb_payrolls[[#This Row],[Injured]]/mlb_payrolls[[#This Row],[Total Payroll Allocations]])</f>
        <v>1.9486449907126696E-2</v>
      </c>
      <c r="T181" s="3">
        <f>IF(mlb_payrolls[[#This Row],[Total Payroll Allocations]]&gt;0,mlb_payrolls[[#This Row],[Retained]]/mlb_payrolls[[#This Row],[Total Payroll Allocations]])</f>
        <v>2.0709426247416757E-2</v>
      </c>
      <c r="U181" s="3">
        <f>IF(mlb_payrolls[[#This Row],[Total Payroll Allocations]]&gt;0,mlb_payrolls[[#This Row],[Buried]]/mlb_payrolls[[#This Row],[Total Payroll Allocations]])</f>
        <v>4.8346155574594419E-3</v>
      </c>
      <c r="V181">
        <f>IF(mlb_payrolls[[#This Row],[Postseason]]="No Playoffs",0,1)</f>
        <v>0</v>
      </c>
    </row>
    <row r="182" spans="1:22" x14ac:dyDescent="0.3">
      <c r="A182" t="s">
        <v>43</v>
      </c>
      <c r="B182" t="s">
        <v>44</v>
      </c>
      <c r="C182">
        <v>2014</v>
      </c>
      <c r="D182">
        <v>26.9</v>
      </c>
      <c r="E182" s="1">
        <v>106343190</v>
      </c>
      <c r="F182" s="1">
        <v>67825588</v>
      </c>
      <c r="G182" s="1">
        <v>9500000</v>
      </c>
      <c r="H182" s="1">
        <v>28134272</v>
      </c>
      <c r="I182" s="1">
        <v>333330</v>
      </c>
      <c r="J182">
        <v>64</v>
      </c>
      <c r="K182">
        <v>98</v>
      </c>
      <c r="L182" t="s">
        <v>14</v>
      </c>
      <c r="M182">
        <f>mlb_payrolls[[#This Row],[Wins]] + mlb_payrolls[[#This Row],[Losses]]</f>
        <v>162</v>
      </c>
      <c r="N182" s="2">
        <f>IF(mlb_payrolls[[#This Row],[Games]] &gt;0, mlb_payrolls[[#This Row],[Wins]]/mlb_payrolls[[#This Row],[Games]], "")</f>
        <v>0.39506172839506171</v>
      </c>
      <c r="O182" s="1">
        <f>IFERROR(VALUE(mlb_payrolls[[#This Row],[Total Payroll Allocations]])/VALUE(mlb_payrolls[[#This Row],[Wins]]),"")</f>
        <v>1661612.34375</v>
      </c>
      <c r="P182" s="1">
        <f>SUM(mlb_payrolls[[#This Row],[Active 26-Man]],mlb_payrolls[[#This Row],[Injured]],mlb_payrolls[[#This Row],[Retained]],mlb_payrolls[[#This Row],[Buried]])</f>
        <v>105793190</v>
      </c>
      <c r="Q182" s="1">
        <f>mlb_payrolls[[#This Row],[Total Payroll Allocations]]-mlb_payrolls[[#This Row],[Payroll Parts Sum]]</f>
        <v>550000</v>
      </c>
      <c r="R182" s="2">
        <f>IF(mlb_payrolls[[#This Row],[Total Payroll Allocations]]&gt;0, mlb_payrolls[[#This Row],[Active 26-Man]]/mlb_payrolls[[#This Row],[Total Payroll Allocations]],"")</f>
        <v>0.63779907298248251</v>
      </c>
      <c r="S182" s="2">
        <f>IF(mlb_payrolls[[#This Row],[Total Payroll Allocations]]&gt;0,mlb_payrolls[[#This Row],[Injured]]/mlb_payrolls[[#This Row],[Total Payroll Allocations]])</f>
        <v>8.9333411946735844E-2</v>
      </c>
      <c r="T182" s="3">
        <f>IF(mlb_payrolls[[#This Row],[Total Payroll Allocations]]&gt;0,mlb_payrolls[[#This Row],[Retained]]/mlb_payrolls[[#This Row],[Total Payroll Allocations]])</f>
        <v>0.26456110635763325</v>
      </c>
      <c r="U182" s="3">
        <f>IF(mlb_payrolls[[#This Row],[Total Payroll Allocations]]&gt;0,mlb_payrolls[[#This Row],[Buried]]/mlb_payrolls[[#This Row],[Total Payroll Allocations]])</f>
        <v>3.1344743372847851E-3</v>
      </c>
      <c r="V182">
        <f>IF(mlb_payrolls[[#This Row],[Postseason]]="No Playoffs",0,1)</f>
        <v>0</v>
      </c>
    </row>
    <row r="183" spans="1:22" x14ac:dyDescent="0.3">
      <c r="A183" t="s">
        <v>22</v>
      </c>
      <c r="B183" t="s">
        <v>23</v>
      </c>
      <c r="C183">
        <v>2019</v>
      </c>
      <c r="D183">
        <v>27.6</v>
      </c>
      <c r="E183" s="1">
        <v>106838693</v>
      </c>
      <c r="F183" s="1">
        <v>83738008</v>
      </c>
      <c r="G183" s="1">
        <v>6588308</v>
      </c>
      <c r="H183" s="1">
        <v>16165338</v>
      </c>
      <c r="I183" s="1">
        <v>347039</v>
      </c>
      <c r="J183">
        <v>93</v>
      </c>
      <c r="K183">
        <v>69</v>
      </c>
      <c r="L183" t="s">
        <v>14</v>
      </c>
      <c r="M183">
        <f>mlb_payrolls[[#This Row],[Wins]] + mlb_payrolls[[#This Row],[Losses]]</f>
        <v>162</v>
      </c>
      <c r="N183" s="2">
        <f>IF(mlb_payrolls[[#This Row],[Games]] &gt;0, mlb_payrolls[[#This Row],[Wins]]/mlb_payrolls[[#This Row],[Games]], "")</f>
        <v>0.57407407407407407</v>
      </c>
      <c r="O183" s="1">
        <f>IFERROR(VALUE(mlb_payrolls[[#This Row],[Total Payroll Allocations]])/VALUE(mlb_payrolls[[#This Row],[Wins]]),"")</f>
        <v>1148803.1505376345</v>
      </c>
      <c r="P183" s="1">
        <f>SUM(mlb_payrolls[[#This Row],[Active 26-Man]],mlb_payrolls[[#This Row],[Injured]],mlb_payrolls[[#This Row],[Retained]],mlb_payrolls[[#This Row],[Buried]])</f>
        <v>106838693</v>
      </c>
      <c r="Q183" s="1">
        <f>mlb_payrolls[[#This Row],[Total Payroll Allocations]]-mlb_payrolls[[#This Row],[Payroll Parts Sum]]</f>
        <v>0</v>
      </c>
      <c r="R183" s="2">
        <f>IF(mlb_payrolls[[#This Row],[Total Payroll Allocations]]&gt;0, mlb_payrolls[[#This Row],[Active 26-Man]]/mlb_payrolls[[#This Row],[Total Payroll Allocations]],"")</f>
        <v>0.78377978659847514</v>
      </c>
      <c r="S183" s="2">
        <f>IF(mlb_payrolls[[#This Row],[Total Payroll Allocations]]&gt;0,mlb_payrolls[[#This Row],[Injured]]/mlb_payrolls[[#This Row],[Total Payroll Allocations]])</f>
        <v>6.1665935954495439E-2</v>
      </c>
      <c r="T183" s="3">
        <f>IF(mlb_payrolls[[#This Row],[Total Payroll Allocations]]&gt;0,mlb_payrolls[[#This Row],[Retained]]/mlb_payrolls[[#This Row],[Total Payroll Allocations]])</f>
        <v>0.1513060254303186</v>
      </c>
      <c r="U183" s="3">
        <f>IF(mlb_payrolls[[#This Row],[Total Payroll Allocations]]&gt;0,mlb_payrolls[[#This Row],[Buried]]/mlb_payrolls[[#This Row],[Total Payroll Allocations]])</f>
        <v>3.2482520167108372E-3</v>
      </c>
      <c r="V183">
        <f>IF(mlb_payrolls[[#This Row],[Postseason]]="No Playoffs",0,1)</f>
        <v>0</v>
      </c>
    </row>
    <row r="184" spans="1:22" x14ac:dyDescent="0.3">
      <c r="A184" t="s">
        <v>49</v>
      </c>
      <c r="B184" t="s">
        <v>50</v>
      </c>
      <c r="C184">
        <v>2016</v>
      </c>
      <c r="D184">
        <v>27.4</v>
      </c>
      <c r="E184" s="1">
        <v>106902280</v>
      </c>
      <c r="F184" s="1">
        <v>88354041</v>
      </c>
      <c r="G184" s="1">
        <v>1289832</v>
      </c>
      <c r="H184" s="1">
        <v>16710362</v>
      </c>
      <c r="I184" s="1">
        <v>548045</v>
      </c>
      <c r="J184">
        <v>75</v>
      </c>
      <c r="K184">
        <v>87</v>
      </c>
      <c r="L184" t="s">
        <v>14</v>
      </c>
      <c r="M184">
        <f>mlb_payrolls[[#This Row],[Wins]] + mlb_payrolls[[#This Row],[Losses]]</f>
        <v>162</v>
      </c>
      <c r="N184" s="2">
        <f>IF(mlb_payrolls[[#This Row],[Games]] &gt;0, mlb_payrolls[[#This Row],[Wins]]/mlb_payrolls[[#This Row],[Games]], "")</f>
        <v>0.46296296296296297</v>
      </c>
      <c r="O184" s="1">
        <f>IFERROR(VALUE(mlb_payrolls[[#This Row],[Total Payroll Allocations]])/VALUE(mlb_payrolls[[#This Row],[Wins]]),"")</f>
        <v>1425363.7333333334</v>
      </c>
      <c r="P184" s="1">
        <f>SUM(mlb_payrolls[[#This Row],[Active 26-Man]],mlb_payrolls[[#This Row],[Injured]],mlb_payrolls[[#This Row],[Retained]],mlb_payrolls[[#This Row],[Buried]])</f>
        <v>106902280</v>
      </c>
      <c r="Q184" s="1">
        <f>mlb_payrolls[[#This Row],[Total Payroll Allocations]]-mlb_payrolls[[#This Row],[Payroll Parts Sum]]</f>
        <v>0</v>
      </c>
      <c r="R184" s="2">
        <f>IF(mlb_payrolls[[#This Row],[Total Payroll Allocations]]&gt;0, mlb_payrolls[[#This Row],[Active 26-Man]]/mlb_payrolls[[#This Row],[Total Payroll Allocations]],"")</f>
        <v>0.82649351351533384</v>
      </c>
      <c r="S184" s="2">
        <f>IF(mlb_payrolls[[#This Row],[Total Payroll Allocations]]&gt;0,mlb_payrolls[[#This Row],[Injured]]/mlb_payrolls[[#This Row],[Total Payroll Allocations]])</f>
        <v>1.2065523766190954E-2</v>
      </c>
      <c r="T184" s="3">
        <f>IF(mlb_payrolls[[#This Row],[Total Payroll Allocations]]&gt;0,mlb_payrolls[[#This Row],[Retained]]/mlb_payrolls[[#This Row],[Total Payroll Allocations]])</f>
        <v>0.15631436485732578</v>
      </c>
      <c r="U184" s="3">
        <f>IF(mlb_payrolls[[#This Row],[Total Payroll Allocations]]&gt;0,mlb_payrolls[[#This Row],[Buried]]/mlb_payrolls[[#This Row],[Total Payroll Allocations]])</f>
        <v>5.1265978611494539E-3</v>
      </c>
      <c r="V184">
        <f>IF(mlb_payrolls[[#This Row],[Postseason]]="No Playoffs",0,1)</f>
        <v>0</v>
      </c>
    </row>
    <row r="185" spans="1:22" x14ac:dyDescent="0.3">
      <c r="A185" t="s">
        <v>41</v>
      </c>
      <c r="B185" t="s">
        <v>42</v>
      </c>
      <c r="C185">
        <v>2015</v>
      </c>
      <c r="D185">
        <v>27.6</v>
      </c>
      <c r="E185" s="1">
        <v>107915272</v>
      </c>
      <c r="F185" s="1">
        <v>93212255</v>
      </c>
      <c r="G185" s="1">
        <v>11029819</v>
      </c>
      <c r="H185" s="1">
        <v>3267222</v>
      </c>
      <c r="I185" s="1">
        <v>405976</v>
      </c>
      <c r="J185">
        <v>74</v>
      </c>
      <c r="K185">
        <v>88</v>
      </c>
      <c r="L185" t="s">
        <v>14</v>
      </c>
      <c r="M185">
        <f>mlb_payrolls[[#This Row],[Wins]] + mlb_payrolls[[#This Row],[Losses]]</f>
        <v>162</v>
      </c>
      <c r="N185" s="2">
        <f>IF(mlb_payrolls[[#This Row],[Games]] &gt;0, mlb_payrolls[[#This Row],[Wins]]/mlb_payrolls[[#This Row],[Games]], "")</f>
        <v>0.4567901234567901</v>
      </c>
      <c r="O185" s="1">
        <f>IFERROR(VALUE(mlb_payrolls[[#This Row],[Total Payroll Allocations]])/VALUE(mlb_payrolls[[#This Row],[Wins]]),"")</f>
        <v>1458314.4864864864</v>
      </c>
      <c r="P185" s="1">
        <f>SUM(mlb_payrolls[[#This Row],[Active 26-Man]],mlb_payrolls[[#This Row],[Injured]],mlb_payrolls[[#This Row],[Retained]],mlb_payrolls[[#This Row],[Buried]])</f>
        <v>107915272</v>
      </c>
      <c r="Q185" s="1">
        <f>mlb_payrolls[[#This Row],[Total Payroll Allocations]]-mlb_payrolls[[#This Row],[Payroll Parts Sum]]</f>
        <v>0</v>
      </c>
      <c r="R185" s="2">
        <f>IF(mlb_payrolls[[#This Row],[Total Payroll Allocations]]&gt;0, mlb_payrolls[[#This Row],[Active 26-Man]]/mlb_payrolls[[#This Row],[Total Payroll Allocations]],"")</f>
        <v>0.86375406624560058</v>
      </c>
      <c r="S185" s="2">
        <f>IF(mlb_payrolls[[#This Row],[Total Payroll Allocations]]&gt;0,mlb_payrolls[[#This Row],[Injured]]/mlb_payrolls[[#This Row],[Total Payroll Allocations]])</f>
        <v>0.10220813788061434</v>
      </c>
      <c r="T185" s="3">
        <f>IF(mlb_payrolls[[#This Row],[Total Payroll Allocations]]&gt;0,mlb_payrolls[[#This Row],[Retained]]/mlb_payrolls[[#This Row],[Total Payroll Allocations]])</f>
        <v>3.0275807487192361E-2</v>
      </c>
      <c r="U185" s="3">
        <f>IF(mlb_payrolls[[#This Row],[Total Payroll Allocations]]&gt;0,mlb_payrolls[[#This Row],[Buried]]/mlb_payrolls[[#This Row],[Total Payroll Allocations]])</f>
        <v>3.7619883865927708E-3</v>
      </c>
      <c r="V185">
        <f>IF(mlb_payrolls[[#This Row],[Postseason]]="No Playoffs",0,1)</f>
        <v>0</v>
      </c>
    </row>
    <row r="186" spans="1:22" x14ac:dyDescent="0.3">
      <c r="A186" t="s">
        <v>37</v>
      </c>
      <c r="B186" t="s">
        <v>38</v>
      </c>
      <c r="C186">
        <v>2012</v>
      </c>
      <c r="D186">
        <v>27.6</v>
      </c>
      <c r="E186" s="1">
        <v>107939507</v>
      </c>
      <c r="F186" s="1">
        <v>107939507</v>
      </c>
      <c r="G186" s="1">
        <v>0</v>
      </c>
      <c r="H186" s="1">
        <v>0</v>
      </c>
      <c r="I186" s="1">
        <v>0</v>
      </c>
      <c r="J186">
        <v>66</v>
      </c>
      <c r="K186">
        <v>96</v>
      </c>
      <c r="L186" t="s">
        <v>14</v>
      </c>
      <c r="M186">
        <f>mlb_payrolls[[#This Row],[Wins]] + mlb_payrolls[[#This Row],[Losses]]</f>
        <v>162</v>
      </c>
      <c r="N186" s="2">
        <f>IF(mlb_payrolls[[#This Row],[Games]] &gt;0, mlb_payrolls[[#This Row],[Wins]]/mlb_payrolls[[#This Row],[Games]], "")</f>
        <v>0.40740740740740738</v>
      </c>
      <c r="O186" s="1">
        <f>IFERROR(VALUE(mlb_payrolls[[#This Row],[Total Payroll Allocations]])/VALUE(mlb_payrolls[[#This Row],[Wins]]),"")</f>
        <v>1635447.0757575757</v>
      </c>
      <c r="P186" s="1">
        <f>SUM(mlb_payrolls[[#This Row],[Active 26-Man]],mlb_payrolls[[#This Row],[Injured]],mlb_payrolls[[#This Row],[Retained]],mlb_payrolls[[#This Row],[Buried]])</f>
        <v>107939507</v>
      </c>
      <c r="Q186" s="1">
        <f>mlb_payrolls[[#This Row],[Total Payroll Allocations]]-mlb_payrolls[[#This Row],[Payroll Parts Sum]]</f>
        <v>0</v>
      </c>
      <c r="R186" s="2">
        <f>IF(mlb_payrolls[[#This Row],[Total Payroll Allocations]]&gt;0, mlb_payrolls[[#This Row],[Active 26-Man]]/mlb_payrolls[[#This Row],[Total Payroll Allocations]],"")</f>
        <v>1</v>
      </c>
      <c r="S186" s="2">
        <f>IF(mlb_payrolls[[#This Row],[Total Payroll Allocations]]&gt;0,mlb_payrolls[[#This Row],[Injured]]/mlb_payrolls[[#This Row],[Total Payroll Allocations]])</f>
        <v>0</v>
      </c>
      <c r="T186" s="3">
        <f>IF(mlb_payrolls[[#This Row],[Total Payroll Allocations]]&gt;0,mlb_payrolls[[#This Row],[Retained]]/mlb_payrolls[[#This Row],[Total Payroll Allocations]])</f>
        <v>0</v>
      </c>
      <c r="U186" s="3">
        <f>IF(mlb_payrolls[[#This Row],[Total Payroll Allocations]]&gt;0,mlb_payrolls[[#This Row],[Buried]]/mlb_payrolls[[#This Row],[Total Payroll Allocations]])</f>
        <v>0</v>
      </c>
      <c r="V186">
        <f>IF(mlb_payrolls[[#This Row],[Postseason]]="No Playoffs",0,1)</f>
        <v>0</v>
      </c>
    </row>
    <row r="187" spans="1:22" x14ac:dyDescent="0.3">
      <c r="A187" t="s">
        <v>27</v>
      </c>
      <c r="B187" t="s">
        <v>28</v>
      </c>
      <c r="C187">
        <v>2014</v>
      </c>
      <c r="D187">
        <v>28.3</v>
      </c>
      <c r="E187" s="1">
        <v>108777046</v>
      </c>
      <c r="F187" s="1">
        <v>108174589</v>
      </c>
      <c r="G187" s="1">
        <v>0</v>
      </c>
      <c r="H187" s="1">
        <v>520491</v>
      </c>
      <c r="I187" s="1">
        <v>81966</v>
      </c>
      <c r="J187">
        <v>82</v>
      </c>
      <c r="K187">
        <v>80</v>
      </c>
      <c r="L187" t="s">
        <v>14</v>
      </c>
      <c r="M187">
        <f>mlb_payrolls[[#This Row],[Wins]] + mlb_payrolls[[#This Row],[Losses]]</f>
        <v>162</v>
      </c>
      <c r="N187" s="2">
        <f>IF(mlb_payrolls[[#This Row],[Games]] &gt;0, mlb_payrolls[[#This Row],[Wins]]/mlb_payrolls[[#This Row],[Games]], "")</f>
        <v>0.50617283950617287</v>
      </c>
      <c r="O187" s="1">
        <f>IFERROR(VALUE(mlb_payrolls[[#This Row],[Total Payroll Allocations]])/VALUE(mlb_payrolls[[#This Row],[Wins]]),"")</f>
        <v>1326549.3414634147</v>
      </c>
      <c r="P187" s="1">
        <f>SUM(mlb_payrolls[[#This Row],[Active 26-Man]],mlb_payrolls[[#This Row],[Injured]],mlb_payrolls[[#This Row],[Retained]],mlb_payrolls[[#This Row],[Buried]])</f>
        <v>108777046</v>
      </c>
      <c r="Q187" s="1">
        <f>mlb_payrolls[[#This Row],[Total Payroll Allocations]]-mlb_payrolls[[#This Row],[Payroll Parts Sum]]</f>
        <v>0</v>
      </c>
      <c r="R187" s="2">
        <f>IF(mlb_payrolls[[#This Row],[Total Payroll Allocations]]&gt;0, mlb_payrolls[[#This Row],[Active 26-Man]]/mlb_payrolls[[#This Row],[Total Payroll Allocations]],"")</f>
        <v>0.99446154292514988</v>
      </c>
      <c r="S187" s="2">
        <f>IF(mlb_payrolls[[#This Row],[Total Payroll Allocations]]&gt;0,mlb_payrolls[[#This Row],[Injured]]/mlb_payrolls[[#This Row],[Total Payroll Allocations]])</f>
        <v>0</v>
      </c>
      <c r="T187" s="3">
        <f>IF(mlb_payrolls[[#This Row],[Total Payroll Allocations]]&gt;0,mlb_payrolls[[#This Row],[Retained]]/mlb_payrolls[[#This Row],[Total Payroll Allocations]])</f>
        <v>4.7849341303127504E-3</v>
      </c>
      <c r="U187" s="3">
        <f>IF(mlb_payrolls[[#This Row],[Total Payroll Allocations]]&gt;0,mlb_payrolls[[#This Row],[Buried]]/mlb_payrolls[[#This Row],[Total Payroll Allocations]])</f>
        <v>7.5352294453739812E-4</v>
      </c>
      <c r="V187">
        <f>IF(mlb_payrolls[[#This Row],[Postseason]]="No Playoffs",0,1)</f>
        <v>0</v>
      </c>
    </row>
    <row r="188" spans="1:22" x14ac:dyDescent="0.3">
      <c r="A188" t="s">
        <v>69</v>
      </c>
      <c r="B188" t="s">
        <v>70</v>
      </c>
      <c r="C188">
        <v>2012</v>
      </c>
      <c r="D188">
        <v>27.9</v>
      </c>
      <c r="E188" s="1">
        <v>108841055</v>
      </c>
      <c r="F188" s="1">
        <v>108119744</v>
      </c>
      <c r="G188" s="1">
        <v>0</v>
      </c>
      <c r="H188" s="1">
        <v>721311</v>
      </c>
      <c r="I188" s="1">
        <v>0</v>
      </c>
      <c r="J188">
        <v>85</v>
      </c>
      <c r="K188">
        <v>77</v>
      </c>
      <c r="L188" t="s">
        <v>14</v>
      </c>
      <c r="M188">
        <f>mlb_payrolls[[#This Row],[Wins]] + mlb_payrolls[[#This Row],[Losses]]</f>
        <v>162</v>
      </c>
      <c r="N188" s="2">
        <f>IF(mlb_payrolls[[#This Row],[Games]] &gt;0, mlb_payrolls[[#This Row],[Wins]]/mlb_payrolls[[#This Row],[Games]], "")</f>
        <v>0.52469135802469136</v>
      </c>
      <c r="O188" s="1">
        <f>IFERROR(VALUE(mlb_payrolls[[#This Row],[Total Payroll Allocations]])/VALUE(mlb_payrolls[[#This Row],[Wins]]),"")</f>
        <v>1280483</v>
      </c>
      <c r="P188" s="1">
        <f>SUM(mlb_payrolls[[#This Row],[Active 26-Man]],mlb_payrolls[[#This Row],[Injured]],mlb_payrolls[[#This Row],[Retained]],mlb_payrolls[[#This Row],[Buried]])</f>
        <v>108841055</v>
      </c>
      <c r="Q188" s="1">
        <f>mlb_payrolls[[#This Row],[Total Payroll Allocations]]-mlb_payrolls[[#This Row],[Payroll Parts Sum]]</f>
        <v>0</v>
      </c>
      <c r="R188" s="2">
        <f>IF(mlb_payrolls[[#This Row],[Total Payroll Allocations]]&gt;0, mlb_payrolls[[#This Row],[Active 26-Man]]/mlb_payrolls[[#This Row],[Total Payroll Allocations]],"")</f>
        <v>0.99337280403979911</v>
      </c>
      <c r="S188" s="2">
        <f>IF(mlb_payrolls[[#This Row],[Total Payroll Allocations]]&gt;0,mlb_payrolls[[#This Row],[Injured]]/mlb_payrolls[[#This Row],[Total Payroll Allocations]])</f>
        <v>0</v>
      </c>
      <c r="T188" s="3">
        <f>IF(mlb_payrolls[[#This Row],[Total Payroll Allocations]]&gt;0,mlb_payrolls[[#This Row],[Retained]]/mlb_payrolls[[#This Row],[Total Payroll Allocations]])</f>
        <v>6.6271959602008639E-3</v>
      </c>
      <c r="U188" s="3">
        <f>IF(mlb_payrolls[[#This Row],[Total Payroll Allocations]]&gt;0,mlb_payrolls[[#This Row],[Buried]]/mlb_payrolls[[#This Row],[Total Payroll Allocations]])</f>
        <v>0</v>
      </c>
      <c r="V188">
        <f>IF(mlb_payrolls[[#This Row],[Postseason]]="No Playoffs",0,1)</f>
        <v>0</v>
      </c>
    </row>
    <row r="189" spans="1:22" x14ac:dyDescent="0.3">
      <c r="A189" t="s">
        <v>27</v>
      </c>
      <c r="B189" t="s">
        <v>28</v>
      </c>
      <c r="C189">
        <v>2018</v>
      </c>
      <c r="D189">
        <v>28.6</v>
      </c>
      <c r="E189" s="1">
        <v>108982016</v>
      </c>
      <c r="F189" s="1">
        <v>87588839</v>
      </c>
      <c r="G189" s="1">
        <v>7321500</v>
      </c>
      <c r="H189" s="1">
        <v>11383150</v>
      </c>
      <c r="I189" s="1">
        <v>388527</v>
      </c>
      <c r="J189">
        <v>96</v>
      </c>
      <c r="K189">
        <v>67</v>
      </c>
      <c r="L189" t="s">
        <v>24</v>
      </c>
      <c r="M189">
        <f>mlb_payrolls[[#This Row],[Wins]] + mlb_payrolls[[#This Row],[Losses]]</f>
        <v>163</v>
      </c>
      <c r="N189" s="2">
        <f>IF(mlb_payrolls[[#This Row],[Games]] &gt;0, mlb_payrolls[[#This Row],[Wins]]/mlb_payrolls[[#This Row],[Games]], "")</f>
        <v>0.58895705521472397</v>
      </c>
      <c r="O189" s="1">
        <f>IFERROR(VALUE(mlb_payrolls[[#This Row],[Total Payroll Allocations]])/VALUE(mlb_payrolls[[#This Row],[Wins]]),"")</f>
        <v>1135229.3333333333</v>
      </c>
      <c r="P189" s="1">
        <f>SUM(mlb_payrolls[[#This Row],[Active 26-Man]],mlb_payrolls[[#This Row],[Injured]],mlb_payrolls[[#This Row],[Retained]],mlb_payrolls[[#This Row],[Buried]])</f>
        <v>106682016</v>
      </c>
      <c r="Q189" s="1">
        <f>mlb_payrolls[[#This Row],[Total Payroll Allocations]]-mlb_payrolls[[#This Row],[Payroll Parts Sum]]</f>
        <v>2300000</v>
      </c>
      <c r="R189" s="2">
        <f>IF(mlb_payrolls[[#This Row],[Total Payroll Allocations]]&gt;0, mlb_payrolls[[#This Row],[Active 26-Man]]/mlb_payrolls[[#This Row],[Total Payroll Allocations]],"")</f>
        <v>0.803699933390845</v>
      </c>
      <c r="S189" s="2">
        <f>IF(mlb_payrolls[[#This Row],[Total Payroll Allocations]]&gt;0,mlb_payrolls[[#This Row],[Injured]]/mlb_payrolls[[#This Row],[Total Payroll Allocations]])</f>
        <v>6.7180808987787485E-2</v>
      </c>
      <c r="T189" s="3">
        <f>IF(mlb_payrolls[[#This Row],[Total Payroll Allocations]]&gt;0,mlb_payrolls[[#This Row],[Retained]]/mlb_payrolls[[#This Row],[Total Payroll Allocations]])</f>
        <v>0.10444980206642535</v>
      </c>
      <c r="U189" s="3">
        <f>IF(mlb_payrolls[[#This Row],[Total Payroll Allocations]]&gt;0,mlb_payrolls[[#This Row],[Buried]]/mlb_payrolls[[#This Row],[Total Payroll Allocations]])</f>
        <v>3.5650560914564106E-3</v>
      </c>
      <c r="V189">
        <f>IF(mlb_payrolls[[#This Row],[Postseason]]="No Playoffs",0,1)</f>
        <v>1</v>
      </c>
    </row>
    <row r="190" spans="1:22" x14ac:dyDescent="0.3">
      <c r="A190" t="s">
        <v>25</v>
      </c>
      <c r="B190" t="s">
        <v>26</v>
      </c>
      <c r="C190">
        <v>2024</v>
      </c>
      <c r="D190">
        <v>28.4</v>
      </c>
      <c r="E190" s="1">
        <v>109335494</v>
      </c>
      <c r="F190" s="1">
        <v>65994548</v>
      </c>
      <c r="G190" s="1">
        <v>10808540</v>
      </c>
      <c r="H190" s="1">
        <v>30650082</v>
      </c>
      <c r="I190" s="1">
        <v>1882324</v>
      </c>
      <c r="J190">
        <v>91</v>
      </c>
      <c r="K190">
        <v>71</v>
      </c>
      <c r="L190" t="s">
        <v>21</v>
      </c>
      <c r="M190">
        <f>mlb_payrolls[[#This Row],[Wins]] + mlb_payrolls[[#This Row],[Losses]]</f>
        <v>162</v>
      </c>
      <c r="N190" s="2">
        <f>IF(mlb_payrolls[[#This Row],[Games]] &gt;0, mlb_payrolls[[#This Row],[Wins]]/mlb_payrolls[[#This Row],[Games]], "")</f>
        <v>0.56172839506172845</v>
      </c>
      <c r="O190" s="1">
        <f>IFERROR(VALUE(mlb_payrolls[[#This Row],[Total Payroll Allocations]])/VALUE(mlb_payrolls[[#This Row],[Wins]]),"")</f>
        <v>1201488.9450549451</v>
      </c>
      <c r="P190" s="1">
        <f>SUM(mlb_payrolls[[#This Row],[Active 26-Man]],mlb_payrolls[[#This Row],[Injured]],mlb_payrolls[[#This Row],[Retained]],mlb_payrolls[[#This Row],[Buried]])</f>
        <v>109335494</v>
      </c>
      <c r="Q190" s="1">
        <f>mlb_payrolls[[#This Row],[Total Payroll Allocations]]-mlb_payrolls[[#This Row],[Payroll Parts Sum]]</f>
        <v>0</v>
      </c>
      <c r="R190" s="2">
        <f>IF(mlb_payrolls[[#This Row],[Total Payroll Allocations]]&gt;0, mlb_payrolls[[#This Row],[Active 26-Man]]/mlb_payrolls[[#This Row],[Total Payroll Allocations]],"")</f>
        <v>0.60359674233511029</v>
      </c>
      <c r="S190" s="2">
        <f>IF(mlb_payrolls[[#This Row],[Total Payroll Allocations]]&gt;0,mlb_payrolls[[#This Row],[Injured]]/mlb_payrolls[[#This Row],[Total Payroll Allocations]])</f>
        <v>9.8856643936689026E-2</v>
      </c>
      <c r="T190" s="3">
        <f>IF(mlb_payrolls[[#This Row],[Total Payroll Allocations]]&gt;0,mlb_payrolls[[#This Row],[Retained]]/mlb_payrolls[[#This Row],[Total Payroll Allocations]])</f>
        <v>0.28033057590611882</v>
      </c>
      <c r="U190" s="3">
        <f>IF(mlb_payrolls[[#This Row],[Total Payroll Allocations]]&gt;0,mlb_payrolls[[#This Row],[Buried]]/mlb_payrolls[[#This Row],[Total Payroll Allocations]])</f>
        <v>1.7216037822081819E-2</v>
      </c>
      <c r="V190">
        <f>IF(mlb_payrolls[[#This Row],[Postseason]]="No Playoffs",0,1)</f>
        <v>1</v>
      </c>
    </row>
    <row r="191" spans="1:22" x14ac:dyDescent="0.3">
      <c r="A191" t="s">
        <v>73</v>
      </c>
      <c r="B191" t="s">
        <v>74</v>
      </c>
      <c r="C191">
        <v>2015</v>
      </c>
      <c r="D191">
        <v>28.3</v>
      </c>
      <c r="E191" s="1">
        <v>110398927</v>
      </c>
      <c r="F191" s="1">
        <v>103930260</v>
      </c>
      <c r="G191" s="1">
        <v>5551249</v>
      </c>
      <c r="H191" s="1">
        <v>129200</v>
      </c>
      <c r="I191" s="1">
        <v>476251</v>
      </c>
      <c r="J191">
        <v>90</v>
      </c>
      <c r="K191">
        <v>72</v>
      </c>
      <c r="L191" t="s">
        <v>24</v>
      </c>
      <c r="M191">
        <f>mlb_payrolls[[#This Row],[Wins]] + mlb_payrolls[[#This Row],[Losses]]</f>
        <v>162</v>
      </c>
      <c r="N191" s="2">
        <f>IF(mlb_payrolls[[#This Row],[Games]] &gt;0, mlb_payrolls[[#This Row],[Wins]]/mlb_payrolls[[#This Row],[Games]], "")</f>
        <v>0.55555555555555558</v>
      </c>
      <c r="O191" s="1">
        <f>IFERROR(VALUE(mlb_payrolls[[#This Row],[Total Payroll Allocations]])/VALUE(mlb_payrolls[[#This Row],[Wins]]),"")</f>
        <v>1226654.7444444445</v>
      </c>
      <c r="P191" s="1">
        <f>SUM(mlb_payrolls[[#This Row],[Active 26-Man]],mlb_payrolls[[#This Row],[Injured]],mlb_payrolls[[#This Row],[Retained]],mlb_payrolls[[#This Row],[Buried]])</f>
        <v>110086960</v>
      </c>
      <c r="Q191" s="1">
        <f>mlb_payrolls[[#This Row],[Total Payroll Allocations]]-mlb_payrolls[[#This Row],[Payroll Parts Sum]]</f>
        <v>311967</v>
      </c>
      <c r="R191" s="2">
        <f>IF(mlb_payrolls[[#This Row],[Total Payroll Allocations]]&gt;0, mlb_payrolls[[#This Row],[Active 26-Man]]/mlb_payrolls[[#This Row],[Total Payroll Allocations]],"")</f>
        <v>0.94140643232882149</v>
      </c>
      <c r="S191" s="2">
        <f>IF(mlb_payrolls[[#This Row],[Total Payroll Allocations]]&gt;0,mlb_payrolls[[#This Row],[Injured]]/mlb_payrolls[[#This Row],[Total Payroll Allocations]])</f>
        <v>5.0283541252171771E-2</v>
      </c>
      <c r="T191" s="3">
        <f>IF(mlb_payrolls[[#This Row],[Total Payroll Allocations]]&gt;0,mlb_payrolls[[#This Row],[Retained]]/mlb_payrolls[[#This Row],[Total Payroll Allocations]])</f>
        <v>1.1703012294675653E-3</v>
      </c>
      <c r="U191" s="3">
        <f>IF(mlb_payrolls[[#This Row],[Total Payroll Allocations]]&gt;0,mlb_payrolls[[#This Row],[Buried]]/mlb_payrolls[[#This Row],[Total Payroll Allocations]])</f>
        <v>4.3139096813866679E-3</v>
      </c>
      <c r="V191">
        <f>IF(mlb_payrolls[[#This Row],[Postseason]]="No Playoffs",0,1)</f>
        <v>1</v>
      </c>
    </row>
    <row r="192" spans="1:22" x14ac:dyDescent="0.3">
      <c r="A192" t="s">
        <v>35</v>
      </c>
      <c r="B192" t="s">
        <v>36</v>
      </c>
      <c r="C192">
        <v>2017</v>
      </c>
      <c r="D192">
        <v>28.9</v>
      </c>
      <c r="E192" s="1">
        <v>110765599</v>
      </c>
      <c r="F192" s="1">
        <v>72360311</v>
      </c>
      <c r="G192" s="1">
        <v>21441206</v>
      </c>
      <c r="H192" s="1">
        <v>13782819</v>
      </c>
      <c r="I192" s="1">
        <v>3181263</v>
      </c>
      <c r="J192">
        <v>77</v>
      </c>
      <c r="K192">
        <v>85</v>
      </c>
      <c r="L192" t="s">
        <v>14</v>
      </c>
      <c r="M192">
        <f>mlb_payrolls[[#This Row],[Wins]] + mlb_payrolls[[#This Row],[Losses]]</f>
        <v>162</v>
      </c>
      <c r="N192" s="2">
        <f>IF(mlb_payrolls[[#This Row],[Games]] &gt;0, mlb_payrolls[[#This Row],[Wins]]/mlb_payrolls[[#This Row],[Games]], "")</f>
        <v>0.47530864197530864</v>
      </c>
      <c r="O192" s="1">
        <f>IFERROR(VALUE(mlb_payrolls[[#This Row],[Total Payroll Allocations]])/VALUE(mlb_payrolls[[#This Row],[Wins]]),"")</f>
        <v>1438514.2727272727</v>
      </c>
      <c r="P192" s="1">
        <f>SUM(mlb_payrolls[[#This Row],[Active 26-Man]],mlb_payrolls[[#This Row],[Injured]],mlb_payrolls[[#This Row],[Retained]],mlb_payrolls[[#This Row],[Buried]])</f>
        <v>110765599</v>
      </c>
      <c r="Q192" s="1">
        <f>mlb_payrolls[[#This Row],[Total Payroll Allocations]]-mlb_payrolls[[#This Row],[Payroll Parts Sum]]</f>
        <v>0</v>
      </c>
      <c r="R192" s="2">
        <f>IF(mlb_payrolls[[#This Row],[Total Payroll Allocations]]&gt;0, mlb_payrolls[[#This Row],[Active 26-Man]]/mlb_payrolls[[#This Row],[Total Payroll Allocations]],"")</f>
        <v>0.65327422641392474</v>
      </c>
      <c r="S192" s="2">
        <f>IF(mlb_payrolls[[#This Row],[Total Payroll Allocations]]&gt;0,mlb_payrolls[[#This Row],[Injured]]/mlb_payrolls[[#This Row],[Total Payroll Allocations]])</f>
        <v>0.19357278968897193</v>
      </c>
      <c r="T192" s="3">
        <f>IF(mlb_payrolls[[#This Row],[Total Payroll Allocations]]&gt;0,mlb_payrolls[[#This Row],[Retained]]/mlb_payrolls[[#This Row],[Total Payroll Allocations]])</f>
        <v>0.12443230682118191</v>
      </c>
      <c r="U192" s="3">
        <f>IF(mlb_payrolls[[#This Row],[Total Payroll Allocations]]&gt;0,mlb_payrolls[[#This Row],[Buried]]/mlb_payrolls[[#This Row],[Total Payroll Allocations]])</f>
        <v>2.872067707592138E-2</v>
      </c>
      <c r="V192">
        <f>IF(mlb_payrolls[[#This Row],[Postseason]]="No Playoffs",0,1)</f>
        <v>0</v>
      </c>
    </row>
    <row r="193" spans="1:22" x14ac:dyDescent="0.3">
      <c r="A193" t="s">
        <v>39</v>
      </c>
      <c r="B193" t="s">
        <v>40</v>
      </c>
      <c r="C193">
        <v>2022</v>
      </c>
      <c r="D193">
        <v>27.6</v>
      </c>
      <c r="E193" s="1">
        <v>110826407</v>
      </c>
      <c r="F193" s="1">
        <v>77183408</v>
      </c>
      <c r="G193" s="1">
        <v>9896644</v>
      </c>
      <c r="H193" s="1">
        <v>13680533</v>
      </c>
      <c r="I193" s="1">
        <v>2315822</v>
      </c>
      <c r="J193">
        <v>90</v>
      </c>
      <c r="K193">
        <v>72</v>
      </c>
      <c r="L193" t="s">
        <v>21</v>
      </c>
      <c r="M193">
        <f>mlb_payrolls[[#This Row],[Wins]] + mlb_payrolls[[#This Row],[Losses]]</f>
        <v>162</v>
      </c>
      <c r="N193" s="2">
        <f>IF(mlb_payrolls[[#This Row],[Games]] &gt;0, mlb_payrolls[[#This Row],[Wins]]/mlb_payrolls[[#This Row],[Games]], "")</f>
        <v>0.55555555555555558</v>
      </c>
      <c r="O193" s="1">
        <f>IFERROR(VALUE(mlb_payrolls[[#This Row],[Total Payroll Allocations]])/VALUE(mlb_payrolls[[#This Row],[Wins]]),"")</f>
        <v>1231404.5222222223</v>
      </c>
      <c r="P193" s="1">
        <f>SUM(mlb_payrolls[[#This Row],[Active 26-Man]],mlb_payrolls[[#This Row],[Injured]],mlb_payrolls[[#This Row],[Retained]],mlb_payrolls[[#This Row],[Buried]])</f>
        <v>103076407</v>
      </c>
      <c r="Q193" s="1">
        <f>mlb_payrolls[[#This Row],[Total Payroll Allocations]]-mlb_payrolls[[#This Row],[Payroll Parts Sum]]</f>
        <v>7750000</v>
      </c>
      <c r="R193" s="2">
        <f>IF(mlb_payrolls[[#This Row],[Total Payroll Allocations]]&gt;0, mlb_payrolls[[#This Row],[Active 26-Man]]/mlb_payrolls[[#This Row],[Total Payroll Allocations]],"")</f>
        <v>0.6964351736134512</v>
      </c>
      <c r="S193" s="2">
        <f>IF(mlb_payrolls[[#This Row],[Total Payroll Allocations]]&gt;0,mlb_payrolls[[#This Row],[Injured]]/mlb_payrolls[[#This Row],[Total Payroll Allocations]])</f>
        <v>8.9298609130222903E-2</v>
      </c>
      <c r="T193" s="3">
        <f>IF(mlb_payrolls[[#This Row],[Total Payroll Allocations]]&gt;0,mlb_payrolls[[#This Row],[Retained]]/mlb_payrolls[[#This Row],[Total Payroll Allocations]])</f>
        <v>0.12344109468422991</v>
      </c>
      <c r="U193" s="3">
        <f>IF(mlb_payrolls[[#This Row],[Total Payroll Allocations]]&gt;0,mlb_payrolls[[#This Row],[Buried]]/mlb_payrolls[[#This Row],[Total Payroll Allocations]])</f>
        <v>2.0895940441342648E-2</v>
      </c>
      <c r="V193">
        <f>IF(mlb_payrolls[[#This Row],[Postseason]]="No Playoffs",0,1)</f>
        <v>1</v>
      </c>
    </row>
    <row r="194" spans="1:22" x14ac:dyDescent="0.3">
      <c r="A194" t="s">
        <v>57</v>
      </c>
      <c r="B194" t="s">
        <v>58</v>
      </c>
      <c r="C194">
        <v>2015</v>
      </c>
      <c r="D194">
        <v>26.7</v>
      </c>
      <c r="E194" s="1">
        <v>110913266</v>
      </c>
      <c r="F194" s="1">
        <v>55097676</v>
      </c>
      <c r="G194" s="1">
        <v>11263899</v>
      </c>
      <c r="H194" s="1">
        <v>44307649</v>
      </c>
      <c r="I194" s="1">
        <v>244042</v>
      </c>
      <c r="J194">
        <v>67</v>
      </c>
      <c r="K194">
        <v>95</v>
      </c>
      <c r="L194" t="s">
        <v>14</v>
      </c>
      <c r="M194">
        <f>mlb_payrolls[[#This Row],[Wins]] + mlb_payrolls[[#This Row],[Losses]]</f>
        <v>162</v>
      </c>
      <c r="N194" s="2">
        <f>IF(mlb_payrolls[[#This Row],[Games]] &gt;0, mlb_payrolls[[#This Row],[Wins]]/mlb_payrolls[[#This Row],[Games]], "")</f>
        <v>0.41358024691358025</v>
      </c>
      <c r="O194" s="1">
        <f>IFERROR(VALUE(mlb_payrolls[[#This Row],[Total Payroll Allocations]])/VALUE(mlb_payrolls[[#This Row],[Wins]]),"")</f>
        <v>1655421.8805970149</v>
      </c>
      <c r="P194" s="1">
        <f>SUM(mlb_payrolls[[#This Row],[Active 26-Man]],mlb_payrolls[[#This Row],[Injured]],mlb_payrolls[[#This Row],[Retained]],mlb_payrolls[[#This Row],[Buried]])</f>
        <v>110913266</v>
      </c>
      <c r="Q194" s="1">
        <f>mlb_payrolls[[#This Row],[Total Payroll Allocations]]-mlb_payrolls[[#This Row],[Payroll Parts Sum]]</f>
        <v>0</v>
      </c>
      <c r="R194" s="2">
        <f>IF(mlb_payrolls[[#This Row],[Total Payroll Allocations]]&gt;0, mlb_payrolls[[#This Row],[Active 26-Man]]/mlb_payrolls[[#This Row],[Total Payroll Allocations]],"")</f>
        <v>0.49676362428999249</v>
      </c>
      <c r="S194" s="2">
        <f>IF(mlb_payrolls[[#This Row],[Total Payroll Allocations]]&gt;0,mlb_payrolls[[#This Row],[Injured]]/mlb_payrolls[[#This Row],[Total Payroll Allocations]])</f>
        <v>0.10155592208419865</v>
      </c>
      <c r="T194" s="3">
        <f>IF(mlb_payrolls[[#This Row],[Total Payroll Allocations]]&gt;0,mlb_payrolls[[#This Row],[Retained]]/mlb_payrolls[[#This Row],[Total Payroll Allocations]])</f>
        <v>0.3994801577657987</v>
      </c>
      <c r="U194" s="3">
        <f>IF(mlb_payrolls[[#This Row],[Total Payroll Allocations]]&gt;0,mlb_payrolls[[#This Row],[Buried]]/mlb_payrolls[[#This Row],[Total Payroll Allocations]])</f>
        <v>2.2002958600101092E-3</v>
      </c>
      <c r="V194">
        <f>IF(mlb_payrolls[[#This Row],[Postseason]]="No Playoffs",0,1)</f>
        <v>0</v>
      </c>
    </row>
    <row r="195" spans="1:22" x14ac:dyDescent="0.3">
      <c r="A195" t="s">
        <v>67</v>
      </c>
      <c r="B195" t="s">
        <v>68</v>
      </c>
      <c r="C195">
        <v>2019</v>
      </c>
      <c r="D195">
        <v>25.5</v>
      </c>
      <c r="E195" s="1">
        <v>111086139</v>
      </c>
      <c r="F195" s="1">
        <v>36637976</v>
      </c>
      <c r="G195" s="1">
        <v>8512071</v>
      </c>
      <c r="H195" s="1">
        <v>65351162</v>
      </c>
      <c r="I195" s="1">
        <v>584930</v>
      </c>
      <c r="J195">
        <v>67</v>
      </c>
      <c r="K195">
        <v>95</v>
      </c>
      <c r="L195" t="s">
        <v>14</v>
      </c>
      <c r="M195">
        <f>mlb_payrolls[[#This Row],[Wins]] + mlb_payrolls[[#This Row],[Losses]]</f>
        <v>162</v>
      </c>
      <c r="N195" s="2">
        <f>IF(mlb_payrolls[[#This Row],[Games]] &gt;0, mlb_payrolls[[#This Row],[Wins]]/mlb_payrolls[[#This Row],[Games]], "")</f>
        <v>0.41358024691358025</v>
      </c>
      <c r="O195" s="1">
        <f>IFERROR(VALUE(mlb_payrolls[[#This Row],[Total Payroll Allocations]])/VALUE(mlb_payrolls[[#This Row],[Wins]]),"")</f>
        <v>1658002.0746268656</v>
      </c>
      <c r="P195" s="1">
        <f>SUM(mlb_payrolls[[#This Row],[Active 26-Man]],mlb_payrolls[[#This Row],[Injured]],mlb_payrolls[[#This Row],[Retained]],mlb_payrolls[[#This Row],[Buried]])</f>
        <v>111086139</v>
      </c>
      <c r="Q195" s="1">
        <f>mlb_payrolls[[#This Row],[Total Payroll Allocations]]-mlb_payrolls[[#This Row],[Payroll Parts Sum]]</f>
        <v>0</v>
      </c>
      <c r="R195" s="2">
        <f>IF(mlb_payrolls[[#This Row],[Total Payroll Allocations]]&gt;0, mlb_payrolls[[#This Row],[Active 26-Man]]/mlb_payrolls[[#This Row],[Total Payroll Allocations]],"")</f>
        <v>0.32981590979591074</v>
      </c>
      <c r="S195" s="2">
        <f>IF(mlb_payrolls[[#This Row],[Total Payroll Allocations]]&gt;0,mlb_payrolls[[#This Row],[Injured]]/mlb_payrolls[[#This Row],[Total Payroll Allocations]])</f>
        <v>7.6625860585540745E-2</v>
      </c>
      <c r="T195" s="3">
        <f>IF(mlb_payrolls[[#This Row],[Total Payroll Allocations]]&gt;0,mlb_payrolls[[#This Row],[Retained]]/mlb_payrolls[[#This Row],[Total Payroll Allocations]])</f>
        <v>0.58829267619068115</v>
      </c>
      <c r="U195" s="3">
        <f>IF(mlb_payrolls[[#This Row],[Total Payroll Allocations]]&gt;0,mlb_payrolls[[#This Row],[Buried]]/mlb_payrolls[[#This Row],[Total Payroll Allocations]])</f>
        <v>5.2655534278673597E-3</v>
      </c>
      <c r="V195">
        <f>IF(mlb_payrolls[[#This Row],[Postseason]]="No Playoffs",0,1)</f>
        <v>0</v>
      </c>
    </row>
    <row r="196" spans="1:22" x14ac:dyDescent="0.3">
      <c r="A196" t="s">
        <v>19</v>
      </c>
      <c r="B196" t="s">
        <v>20</v>
      </c>
      <c r="C196">
        <v>2011</v>
      </c>
      <c r="D196">
        <v>27.6</v>
      </c>
      <c r="E196" s="1">
        <v>111521015</v>
      </c>
      <c r="F196" s="1">
        <v>111271015</v>
      </c>
      <c r="G196" s="1">
        <v>0</v>
      </c>
      <c r="H196" s="1">
        <v>250000</v>
      </c>
      <c r="I196" s="1">
        <v>0</v>
      </c>
      <c r="J196">
        <v>95</v>
      </c>
      <c r="K196">
        <v>67</v>
      </c>
      <c r="L196" t="s">
        <v>24</v>
      </c>
      <c r="M196">
        <f>mlb_payrolls[[#This Row],[Wins]] + mlb_payrolls[[#This Row],[Losses]]</f>
        <v>162</v>
      </c>
      <c r="N196" s="2">
        <f>IF(mlb_payrolls[[#This Row],[Games]] &gt;0, mlb_payrolls[[#This Row],[Wins]]/mlb_payrolls[[#This Row],[Games]], "")</f>
        <v>0.5864197530864198</v>
      </c>
      <c r="O196" s="1">
        <f>IFERROR(VALUE(mlb_payrolls[[#This Row],[Total Payroll Allocations]])/VALUE(mlb_payrolls[[#This Row],[Wins]]),"")</f>
        <v>1173905.4210526317</v>
      </c>
      <c r="P196" s="1">
        <f>SUM(mlb_payrolls[[#This Row],[Active 26-Man]],mlb_payrolls[[#This Row],[Injured]],mlb_payrolls[[#This Row],[Retained]],mlb_payrolls[[#This Row],[Buried]])</f>
        <v>111521015</v>
      </c>
      <c r="Q196" s="1">
        <f>mlb_payrolls[[#This Row],[Total Payroll Allocations]]-mlb_payrolls[[#This Row],[Payroll Parts Sum]]</f>
        <v>0</v>
      </c>
      <c r="R196" s="2">
        <f>IF(mlb_payrolls[[#This Row],[Total Payroll Allocations]]&gt;0, mlb_payrolls[[#This Row],[Active 26-Man]]/mlb_payrolls[[#This Row],[Total Payroll Allocations]],"")</f>
        <v>0.99775827004443962</v>
      </c>
      <c r="S196" s="2">
        <f>IF(mlb_payrolls[[#This Row],[Total Payroll Allocations]]&gt;0,mlb_payrolls[[#This Row],[Injured]]/mlb_payrolls[[#This Row],[Total Payroll Allocations]])</f>
        <v>0</v>
      </c>
      <c r="T196" s="3">
        <f>IF(mlb_payrolls[[#This Row],[Total Payroll Allocations]]&gt;0,mlb_payrolls[[#This Row],[Retained]]/mlb_payrolls[[#This Row],[Total Payroll Allocations]])</f>
        <v>2.2417299555603939E-3</v>
      </c>
      <c r="U196" s="3">
        <f>IF(mlb_payrolls[[#This Row],[Total Payroll Allocations]]&gt;0,mlb_payrolls[[#This Row],[Buried]]/mlb_payrolls[[#This Row],[Total Payroll Allocations]])</f>
        <v>0</v>
      </c>
      <c r="V196">
        <f>IF(mlb_payrolls[[#This Row],[Postseason]]="No Playoffs",0,1)</f>
        <v>1</v>
      </c>
    </row>
    <row r="197" spans="1:22" x14ac:dyDescent="0.3">
      <c r="A197" t="s">
        <v>69</v>
      </c>
      <c r="B197" t="s">
        <v>70</v>
      </c>
      <c r="C197">
        <v>2013</v>
      </c>
      <c r="D197">
        <v>26.9</v>
      </c>
      <c r="E197" s="1">
        <v>111777595</v>
      </c>
      <c r="F197" s="1">
        <v>82929539</v>
      </c>
      <c r="G197" s="1">
        <v>0</v>
      </c>
      <c r="H197" s="1">
        <v>28663303</v>
      </c>
      <c r="I197" s="1">
        <v>184753</v>
      </c>
      <c r="J197">
        <v>63</v>
      </c>
      <c r="K197">
        <v>99</v>
      </c>
      <c r="L197" t="s">
        <v>14</v>
      </c>
      <c r="M197">
        <f>mlb_payrolls[[#This Row],[Wins]] + mlb_payrolls[[#This Row],[Losses]]</f>
        <v>162</v>
      </c>
      <c r="N197" s="2">
        <f>IF(mlb_payrolls[[#This Row],[Games]] &gt;0, mlb_payrolls[[#This Row],[Wins]]/mlb_payrolls[[#This Row],[Games]], "")</f>
        <v>0.3888888888888889</v>
      </c>
      <c r="O197" s="1">
        <f>IFERROR(VALUE(mlb_payrolls[[#This Row],[Total Payroll Allocations]])/VALUE(mlb_payrolls[[#This Row],[Wins]]),"")</f>
        <v>1774247.5396825396</v>
      </c>
      <c r="P197" s="1">
        <f>SUM(mlb_payrolls[[#This Row],[Active 26-Man]],mlb_payrolls[[#This Row],[Injured]],mlb_payrolls[[#This Row],[Retained]],mlb_payrolls[[#This Row],[Buried]])</f>
        <v>111777595</v>
      </c>
      <c r="Q197" s="1">
        <f>mlb_payrolls[[#This Row],[Total Payroll Allocations]]-mlb_payrolls[[#This Row],[Payroll Parts Sum]]</f>
        <v>0</v>
      </c>
      <c r="R197" s="2">
        <f>IF(mlb_payrolls[[#This Row],[Total Payroll Allocations]]&gt;0, mlb_payrolls[[#This Row],[Active 26-Man]]/mlb_payrolls[[#This Row],[Total Payroll Allocations]],"")</f>
        <v>0.74191557798322638</v>
      </c>
      <c r="S197" s="2">
        <f>IF(mlb_payrolls[[#This Row],[Total Payroll Allocations]]&gt;0,mlb_payrolls[[#This Row],[Injured]]/mlb_payrolls[[#This Row],[Total Payroll Allocations]])</f>
        <v>0</v>
      </c>
      <c r="T197" s="3">
        <f>IF(mlb_payrolls[[#This Row],[Total Payroll Allocations]]&gt;0,mlb_payrolls[[#This Row],[Retained]]/mlb_payrolls[[#This Row],[Total Payroll Allocations]])</f>
        <v>0.25643155947307689</v>
      </c>
      <c r="U197" s="3">
        <f>IF(mlb_payrolls[[#This Row],[Total Payroll Allocations]]&gt;0,mlb_payrolls[[#This Row],[Buried]]/mlb_payrolls[[#This Row],[Total Payroll Allocations]])</f>
        <v>1.6528625436967041E-3</v>
      </c>
      <c r="V197">
        <f>IF(mlb_payrolls[[#This Row],[Postseason]]="No Playoffs",0,1)</f>
        <v>0</v>
      </c>
    </row>
    <row r="198" spans="1:22" x14ac:dyDescent="0.3">
      <c r="A198" t="s">
        <v>71</v>
      </c>
      <c r="B198" t="s">
        <v>72</v>
      </c>
      <c r="C198">
        <v>2020</v>
      </c>
      <c r="D198">
        <v>29</v>
      </c>
      <c r="E198" s="1">
        <v>111939081</v>
      </c>
      <c r="F198" s="1">
        <v>77215694</v>
      </c>
      <c r="G198" s="1">
        <v>9920725</v>
      </c>
      <c r="H198" s="1">
        <v>23982977</v>
      </c>
      <c r="I198" s="1">
        <v>819685</v>
      </c>
      <c r="J198">
        <v>33</v>
      </c>
      <c r="K198">
        <v>27</v>
      </c>
      <c r="L198" t="s">
        <v>21</v>
      </c>
      <c r="M198">
        <f>mlb_payrolls[[#This Row],[Wins]] + mlb_payrolls[[#This Row],[Losses]]</f>
        <v>60</v>
      </c>
      <c r="N198" s="2">
        <f>IF(mlb_payrolls[[#This Row],[Games]] &gt;0, mlb_payrolls[[#This Row],[Wins]]/mlb_payrolls[[#This Row],[Games]], "")</f>
        <v>0.55000000000000004</v>
      </c>
      <c r="O198" s="1">
        <f>IFERROR(VALUE(mlb_payrolls[[#This Row],[Total Payroll Allocations]])/VALUE(mlb_payrolls[[#This Row],[Wins]]),"")</f>
        <v>3392093.3636363638</v>
      </c>
      <c r="P198" s="1">
        <f>SUM(mlb_payrolls[[#This Row],[Active 26-Man]],mlb_payrolls[[#This Row],[Injured]],mlb_payrolls[[#This Row],[Retained]],mlb_payrolls[[#This Row],[Buried]])</f>
        <v>111939081</v>
      </c>
      <c r="Q198" s="1">
        <f>mlb_payrolls[[#This Row],[Total Payroll Allocations]]-mlb_payrolls[[#This Row],[Payroll Parts Sum]]</f>
        <v>0</v>
      </c>
      <c r="R198" s="2">
        <f>IF(mlb_payrolls[[#This Row],[Total Payroll Allocations]]&gt;0, mlb_payrolls[[#This Row],[Active 26-Man]]/mlb_payrolls[[#This Row],[Total Payroll Allocations]],"")</f>
        <v>0.68980103561865047</v>
      </c>
      <c r="S198" s="2">
        <f>IF(mlb_payrolls[[#This Row],[Total Payroll Allocations]]&gt;0,mlb_payrolls[[#This Row],[Injured]]/mlb_payrolls[[#This Row],[Total Payroll Allocations]])</f>
        <v>8.8626107266326401E-2</v>
      </c>
      <c r="T198" s="3">
        <f>IF(mlb_payrolls[[#This Row],[Total Payroll Allocations]]&gt;0,mlb_payrolls[[#This Row],[Retained]]/mlb_payrolls[[#This Row],[Total Payroll Allocations]])</f>
        <v>0.21425025813817428</v>
      </c>
      <c r="U198" s="3">
        <f>IF(mlb_payrolls[[#This Row],[Total Payroll Allocations]]&gt;0,mlb_payrolls[[#This Row],[Buried]]/mlb_payrolls[[#This Row],[Total Payroll Allocations]])</f>
        <v>7.3225989768488453E-3</v>
      </c>
      <c r="V198">
        <f>IF(mlb_payrolls[[#This Row],[Postseason]]="No Playoffs",0,1)</f>
        <v>1</v>
      </c>
    </row>
    <row r="199" spans="1:22" x14ac:dyDescent="0.3">
      <c r="A199" t="s">
        <v>29</v>
      </c>
      <c r="B199" t="s">
        <v>30</v>
      </c>
      <c r="C199">
        <v>2015</v>
      </c>
      <c r="D199">
        <v>27.4</v>
      </c>
      <c r="E199" s="1">
        <v>112333097</v>
      </c>
      <c r="F199" s="1">
        <v>68445559</v>
      </c>
      <c r="G199" s="1">
        <v>22890777</v>
      </c>
      <c r="H199" s="1">
        <v>20832787</v>
      </c>
      <c r="I199" s="1">
        <v>163974</v>
      </c>
      <c r="J199">
        <v>64</v>
      </c>
      <c r="K199">
        <v>98</v>
      </c>
      <c r="L199" t="s">
        <v>14</v>
      </c>
      <c r="M199">
        <f>mlb_payrolls[[#This Row],[Wins]] + mlb_payrolls[[#This Row],[Losses]]</f>
        <v>162</v>
      </c>
      <c r="N199" s="2">
        <f>IF(mlb_payrolls[[#This Row],[Games]] &gt;0, mlb_payrolls[[#This Row],[Wins]]/mlb_payrolls[[#This Row],[Games]], "")</f>
        <v>0.39506172839506171</v>
      </c>
      <c r="O199" s="1">
        <f>IFERROR(VALUE(mlb_payrolls[[#This Row],[Total Payroll Allocations]])/VALUE(mlb_payrolls[[#This Row],[Wins]]),"")</f>
        <v>1755204.640625</v>
      </c>
      <c r="P199" s="1">
        <f>SUM(mlb_payrolls[[#This Row],[Active 26-Man]],mlb_payrolls[[#This Row],[Injured]],mlb_payrolls[[#This Row],[Retained]],mlb_payrolls[[#This Row],[Buried]])</f>
        <v>112333097</v>
      </c>
      <c r="Q199" s="1">
        <f>mlb_payrolls[[#This Row],[Total Payroll Allocations]]-mlb_payrolls[[#This Row],[Payroll Parts Sum]]</f>
        <v>0</v>
      </c>
      <c r="R199" s="2">
        <f>IF(mlb_payrolls[[#This Row],[Total Payroll Allocations]]&gt;0, mlb_payrolls[[#This Row],[Active 26-Man]]/mlb_payrolls[[#This Row],[Total Payroll Allocations]],"")</f>
        <v>0.60930892878347331</v>
      </c>
      <c r="S199" s="2">
        <f>IF(mlb_payrolls[[#This Row],[Total Payroll Allocations]]&gt;0,mlb_payrolls[[#This Row],[Injured]]/mlb_payrolls[[#This Row],[Total Payroll Allocations]])</f>
        <v>0.20377589162346338</v>
      </c>
      <c r="T199" s="3">
        <f>IF(mlb_payrolls[[#This Row],[Total Payroll Allocations]]&gt;0,mlb_payrolls[[#This Row],[Retained]]/mlb_payrolls[[#This Row],[Total Payroll Allocations]])</f>
        <v>0.18545546732322354</v>
      </c>
      <c r="U199" s="3">
        <f>IF(mlb_payrolls[[#This Row],[Total Payroll Allocations]]&gt;0,mlb_payrolls[[#This Row],[Buried]]/mlb_payrolls[[#This Row],[Total Payroll Allocations]])</f>
        <v>1.4597122698397605E-3</v>
      </c>
      <c r="V199">
        <f>IF(mlb_payrolls[[#This Row],[Postseason]]="No Playoffs",0,1)</f>
        <v>0</v>
      </c>
    </row>
    <row r="200" spans="1:22" x14ac:dyDescent="0.3">
      <c r="A200" t="s">
        <v>27</v>
      </c>
      <c r="B200" t="s">
        <v>28</v>
      </c>
      <c r="C200">
        <v>2012</v>
      </c>
      <c r="D200">
        <v>27.7</v>
      </c>
      <c r="E200" s="1">
        <v>113095795</v>
      </c>
      <c r="F200" s="1">
        <v>110652079</v>
      </c>
      <c r="G200" s="1">
        <v>0</v>
      </c>
      <c r="H200" s="1">
        <v>2443716</v>
      </c>
      <c r="I200" s="1">
        <v>0</v>
      </c>
      <c r="J200">
        <v>83</v>
      </c>
      <c r="K200">
        <v>79</v>
      </c>
      <c r="L200" t="s">
        <v>14</v>
      </c>
      <c r="M200">
        <f>mlb_payrolls[[#This Row],[Wins]] + mlb_payrolls[[#This Row],[Losses]]</f>
        <v>162</v>
      </c>
      <c r="N200" s="2">
        <f>IF(mlb_payrolls[[#This Row],[Games]] &gt;0, mlb_payrolls[[#This Row],[Wins]]/mlb_payrolls[[#This Row],[Games]], "")</f>
        <v>0.51234567901234573</v>
      </c>
      <c r="O200" s="1">
        <f>IFERROR(VALUE(mlb_payrolls[[#This Row],[Total Payroll Allocations]])/VALUE(mlb_payrolls[[#This Row],[Wins]]),"")</f>
        <v>1362599.9397590361</v>
      </c>
      <c r="P200" s="1">
        <f>SUM(mlb_payrolls[[#This Row],[Active 26-Man]],mlb_payrolls[[#This Row],[Injured]],mlb_payrolls[[#This Row],[Retained]],mlb_payrolls[[#This Row],[Buried]])</f>
        <v>113095795</v>
      </c>
      <c r="Q200" s="1">
        <f>mlb_payrolls[[#This Row],[Total Payroll Allocations]]-mlb_payrolls[[#This Row],[Payroll Parts Sum]]</f>
        <v>0</v>
      </c>
      <c r="R200" s="2">
        <f>IF(mlb_payrolls[[#This Row],[Total Payroll Allocations]]&gt;0, mlb_payrolls[[#This Row],[Active 26-Man]]/mlb_payrolls[[#This Row],[Total Payroll Allocations]],"")</f>
        <v>0.97839251229455526</v>
      </c>
      <c r="S200" s="2">
        <f>IF(mlb_payrolls[[#This Row],[Total Payroll Allocations]]&gt;0,mlb_payrolls[[#This Row],[Injured]]/mlb_payrolls[[#This Row],[Total Payroll Allocations]])</f>
        <v>0</v>
      </c>
      <c r="T200" s="3">
        <f>IF(mlb_payrolls[[#This Row],[Total Payroll Allocations]]&gt;0,mlb_payrolls[[#This Row],[Retained]]/mlb_payrolls[[#This Row],[Total Payroll Allocations]])</f>
        <v>2.1607487705444753E-2</v>
      </c>
      <c r="U200" s="3">
        <f>IF(mlb_payrolls[[#This Row],[Total Payroll Allocations]]&gt;0,mlb_payrolls[[#This Row],[Buried]]/mlb_payrolls[[#This Row],[Total Payroll Allocations]])</f>
        <v>0</v>
      </c>
      <c r="V200">
        <f>IF(mlb_payrolls[[#This Row],[Postseason]]="No Playoffs",0,1)</f>
        <v>0</v>
      </c>
    </row>
    <row r="201" spans="1:22" x14ac:dyDescent="0.3">
      <c r="A201" t="s">
        <v>29</v>
      </c>
      <c r="B201" t="s">
        <v>30</v>
      </c>
      <c r="C201">
        <v>2014</v>
      </c>
      <c r="D201">
        <v>27.9</v>
      </c>
      <c r="E201" s="1">
        <v>113351318</v>
      </c>
      <c r="F201" s="1">
        <v>99729931</v>
      </c>
      <c r="G201" s="1">
        <v>5500000</v>
      </c>
      <c r="H201" s="1">
        <v>6890711</v>
      </c>
      <c r="I201" s="1">
        <v>1744338</v>
      </c>
      <c r="J201">
        <v>76</v>
      </c>
      <c r="K201">
        <v>86</v>
      </c>
      <c r="L201" t="s">
        <v>14</v>
      </c>
      <c r="M201">
        <f>mlb_payrolls[[#This Row],[Wins]] + mlb_payrolls[[#This Row],[Losses]]</f>
        <v>162</v>
      </c>
      <c r="N201" s="2">
        <f>IF(mlb_payrolls[[#This Row],[Games]] &gt;0, mlb_payrolls[[#This Row],[Wins]]/mlb_payrolls[[#This Row],[Games]], "")</f>
        <v>0.46913580246913578</v>
      </c>
      <c r="O201" s="1">
        <f>IFERROR(VALUE(mlb_payrolls[[#This Row],[Total Payroll Allocations]])/VALUE(mlb_payrolls[[#This Row],[Wins]]),"")</f>
        <v>1491464.7105263157</v>
      </c>
      <c r="P201" s="1">
        <f>SUM(mlb_payrolls[[#This Row],[Active 26-Man]],mlb_payrolls[[#This Row],[Injured]],mlb_payrolls[[#This Row],[Retained]],mlb_payrolls[[#This Row],[Buried]])</f>
        <v>113864980</v>
      </c>
      <c r="Q201" s="1">
        <f>mlb_payrolls[[#This Row],[Total Payroll Allocations]]-mlb_payrolls[[#This Row],[Payroll Parts Sum]]</f>
        <v>-513662</v>
      </c>
      <c r="R201" s="2">
        <f>IF(mlb_payrolls[[#This Row],[Total Payroll Allocations]]&gt;0, mlb_payrolls[[#This Row],[Active 26-Man]]/mlb_payrolls[[#This Row],[Total Payroll Allocations]],"")</f>
        <v>0.87983036068446951</v>
      </c>
      <c r="S201" s="2">
        <f>IF(mlb_payrolls[[#This Row],[Total Payroll Allocations]]&gt;0,mlb_payrolls[[#This Row],[Injured]]/mlb_payrolls[[#This Row],[Total Payroll Allocations]])</f>
        <v>4.8521711939864695E-2</v>
      </c>
      <c r="T201" s="3">
        <f>IF(mlb_payrolls[[#This Row],[Total Payroll Allocations]]&gt;0,mlb_payrolls[[#This Row],[Retained]]/mlb_payrolls[[#This Row],[Total Payroll Allocations]])</f>
        <v>6.0790744400519452E-2</v>
      </c>
      <c r="U201" s="3">
        <f>IF(mlb_payrolls[[#This Row],[Total Payroll Allocations]]&gt;0,mlb_payrolls[[#This Row],[Buried]]/mlb_payrolls[[#This Row],[Total Payroll Allocations]])</f>
        <v>1.5388775629410855E-2</v>
      </c>
      <c r="V201">
        <f>IF(mlb_payrolls[[#This Row],[Postseason]]="No Playoffs",0,1)</f>
        <v>0</v>
      </c>
    </row>
    <row r="202" spans="1:22" x14ac:dyDescent="0.3">
      <c r="A202" t="s">
        <v>25</v>
      </c>
      <c r="B202" t="s">
        <v>26</v>
      </c>
      <c r="C202">
        <v>2014</v>
      </c>
      <c r="D202">
        <v>28</v>
      </c>
      <c r="E202" s="1">
        <v>113562943</v>
      </c>
      <c r="F202" s="1">
        <v>108470318</v>
      </c>
      <c r="G202" s="1">
        <v>0</v>
      </c>
      <c r="H202" s="1">
        <v>2282926</v>
      </c>
      <c r="I202" s="1">
        <v>2809699</v>
      </c>
      <c r="J202">
        <v>96</v>
      </c>
      <c r="K202">
        <v>66</v>
      </c>
      <c r="L202" t="s">
        <v>24</v>
      </c>
      <c r="M202">
        <f>mlb_payrolls[[#This Row],[Wins]] + mlb_payrolls[[#This Row],[Losses]]</f>
        <v>162</v>
      </c>
      <c r="N202" s="2">
        <f>IF(mlb_payrolls[[#This Row],[Games]] &gt;0, mlb_payrolls[[#This Row],[Wins]]/mlb_payrolls[[#This Row],[Games]], "")</f>
        <v>0.59259259259259256</v>
      </c>
      <c r="O202" s="1">
        <f>IFERROR(VALUE(mlb_payrolls[[#This Row],[Total Payroll Allocations]])/VALUE(mlb_payrolls[[#This Row],[Wins]]),"")</f>
        <v>1182947.3229166667</v>
      </c>
      <c r="P202" s="1">
        <f>SUM(mlb_payrolls[[#This Row],[Active 26-Man]],mlb_payrolls[[#This Row],[Injured]],mlb_payrolls[[#This Row],[Retained]],mlb_payrolls[[#This Row],[Buried]])</f>
        <v>113562943</v>
      </c>
      <c r="Q202" s="1">
        <f>mlb_payrolls[[#This Row],[Total Payroll Allocations]]-mlb_payrolls[[#This Row],[Payroll Parts Sum]]</f>
        <v>0</v>
      </c>
      <c r="R202" s="2">
        <f>IF(mlb_payrolls[[#This Row],[Total Payroll Allocations]]&gt;0, mlb_payrolls[[#This Row],[Active 26-Man]]/mlb_payrolls[[#This Row],[Total Payroll Allocations]],"")</f>
        <v>0.95515592617214928</v>
      </c>
      <c r="S202" s="2">
        <f>IF(mlb_payrolls[[#This Row],[Total Payroll Allocations]]&gt;0,mlb_payrolls[[#This Row],[Injured]]/mlb_payrolls[[#This Row],[Total Payroll Allocations]])</f>
        <v>0</v>
      </c>
      <c r="T202" s="3">
        <f>IF(mlb_payrolls[[#This Row],[Total Payroll Allocations]]&gt;0,mlb_payrolls[[#This Row],[Retained]]/mlb_payrolls[[#This Row],[Total Payroll Allocations]])</f>
        <v>2.0102737210676198E-2</v>
      </c>
      <c r="U202" s="3">
        <f>IF(mlb_payrolls[[#This Row],[Total Payroll Allocations]]&gt;0,mlb_payrolls[[#This Row],[Buried]]/mlb_payrolls[[#This Row],[Total Payroll Allocations]])</f>
        <v>2.4741336617174495E-2</v>
      </c>
      <c r="V202">
        <f>IF(mlb_payrolls[[#This Row],[Postseason]]="No Playoffs",0,1)</f>
        <v>1</v>
      </c>
    </row>
    <row r="203" spans="1:22" x14ac:dyDescent="0.3">
      <c r="A203" t="s">
        <v>27</v>
      </c>
      <c r="B203" t="s">
        <v>28</v>
      </c>
      <c r="C203">
        <v>2024</v>
      </c>
      <c r="D203">
        <v>27.9</v>
      </c>
      <c r="E203" s="1">
        <v>114223379</v>
      </c>
      <c r="F203" s="1">
        <v>71398748</v>
      </c>
      <c r="G203" s="1">
        <v>34433308</v>
      </c>
      <c r="H203" s="1">
        <v>6151779</v>
      </c>
      <c r="I203" s="1">
        <v>2239544</v>
      </c>
      <c r="J203">
        <v>93</v>
      </c>
      <c r="K203">
        <v>69</v>
      </c>
      <c r="L203" t="s">
        <v>24</v>
      </c>
      <c r="M203">
        <f>mlb_payrolls[[#This Row],[Wins]] + mlb_payrolls[[#This Row],[Losses]]</f>
        <v>162</v>
      </c>
      <c r="N203" s="2">
        <f>IF(mlb_payrolls[[#This Row],[Games]] &gt;0, mlb_payrolls[[#This Row],[Wins]]/mlb_payrolls[[#This Row],[Games]], "")</f>
        <v>0.57407407407407407</v>
      </c>
      <c r="O203" s="1">
        <f>IFERROR(VALUE(mlb_payrolls[[#This Row],[Total Payroll Allocations]])/VALUE(mlb_payrolls[[#This Row],[Wins]]),"")</f>
        <v>1228208.3763440861</v>
      </c>
      <c r="P203" s="1">
        <f>SUM(mlb_payrolls[[#This Row],[Active 26-Man]],mlb_payrolls[[#This Row],[Injured]],mlb_payrolls[[#This Row],[Retained]],mlb_payrolls[[#This Row],[Buried]])</f>
        <v>114223379</v>
      </c>
      <c r="Q203" s="1">
        <f>mlb_payrolls[[#This Row],[Total Payroll Allocations]]-mlb_payrolls[[#This Row],[Payroll Parts Sum]]</f>
        <v>0</v>
      </c>
      <c r="R203" s="2">
        <f>IF(mlb_payrolls[[#This Row],[Total Payroll Allocations]]&gt;0, mlb_payrolls[[#This Row],[Active 26-Man]]/mlb_payrolls[[#This Row],[Total Payroll Allocations]],"")</f>
        <v>0.62507998472011583</v>
      </c>
      <c r="S203" s="2">
        <f>IF(mlb_payrolls[[#This Row],[Total Payroll Allocations]]&gt;0,mlb_payrolls[[#This Row],[Injured]]/mlb_payrolls[[#This Row],[Total Payroll Allocations]])</f>
        <v>0.30145586920520012</v>
      </c>
      <c r="T203" s="3">
        <f>IF(mlb_payrolls[[#This Row],[Total Payroll Allocations]]&gt;0,mlb_payrolls[[#This Row],[Retained]]/mlb_payrolls[[#This Row],[Total Payroll Allocations]])</f>
        <v>5.3857441916509929E-2</v>
      </c>
      <c r="U203" s="3">
        <f>IF(mlb_payrolls[[#This Row],[Total Payroll Allocations]]&gt;0,mlb_payrolls[[#This Row],[Buried]]/mlb_payrolls[[#This Row],[Total Payroll Allocations]])</f>
        <v>1.9606704158174133E-2</v>
      </c>
      <c r="V203">
        <f>IF(mlb_payrolls[[#This Row],[Postseason]]="No Playoffs",0,1)</f>
        <v>1</v>
      </c>
    </row>
    <row r="204" spans="1:22" x14ac:dyDescent="0.3">
      <c r="A204" t="s">
        <v>37</v>
      </c>
      <c r="B204" t="s">
        <v>38</v>
      </c>
      <c r="C204">
        <v>2011</v>
      </c>
      <c r="D204">
        <v>27.4</v>
      </c>
      <c r="E204" s="1">
        <v>114445627</v>
      </c>
      <c r="F204" s="1">
        <v>107337033</v>
      </c>
      <c r="G204" s="1">
        <v>0</v>
      </c>
      <c r="H204" s="1">
        <v>7108594</v>
      </c>
      <c r="I204" s="1">
        <v>0</v>
      </c>
      <c r="J204">
        <v>63</v>
      </c>
      <c r="K204">
        <v>99</v>
      </c>
      <c r="L204" t="s">
        <v>14</v>
      </c>
      <c r="M204">
        <f>mlb_payrolls[[#This Row],[Wins]] + mlb_payrolls[[#This Row],[Losses]]</f>
        <v>162</v>
      </c>
      <c r="N204" s="2">
        <f>IF(mlb_payrolls[[#This Row],[Games]] &gt;0, mlb_payrolls[[#This Row],[Wins]]/mlb_payrolls[[#This Row],[Games]], "")</f>
        <v>0.3888888888888889</v>
      </c>
      <c r="O204" s="1">
        <f>IFERROR(VALUE(mlb_payrolls[[#This Row],[Total Payroll Allocations]])/VALUE(mlb_payrolls[[#This Row],[Wins]]),"")</f>
        <v>1816597.253968254</v>
      </c>
      <c r="P204" s="1">
        <f>SUM(mlb_payrolls[[#This Row],[Active 26-Man]],mlb_payrolls[[#This Row],[Injured]],mlb_payrolls[[#This Row],[Retained]],mlb_payrolls[[#This Row],[Buried]])</f>
        <v>114445627</v>
      </c>
      <c r="Q204" s="1">
        <f>mlb_payrolls[[#This Row],[Total Payroll Allocations]]-mlb_payrolls[[#This Row],[Payroll Parts Sum]]</f>
        <v>0</v>
      </c>
      <c r="R204" s="2">
        <f>IF(mlb_payrolls[[#This Row],[Total Payroll Allocations]]&gt;0, mlb_payrolls[[#This Row],[Active 26-Man]]/mlb_payrolls[[#This Row],[Total Payroll Allocations]],"")</f>
        <v>0.93788671366185095</v>
      </c>
      <c r="S204" s="2">
        <f>IF(mlb_payrolls[[#This Row],[Total Payroll Allocations]]&gt;0,mlb_payrolls[[#This Row],[Injured]]/mlb_payrolls[[#This Row],[Total Payroll Allocations]])</f>
        <v>0</v>
      </c>
      <c r="T204" s="3">
        <f>IF(mlb_payrolls[[#This Row],[Total Payroll Allocations]]&gt;0,mlb_payrolls[[#This Row],[Retained]]/mlb_payrolls[[#This Row],[Total Payroll Allocations]])</f>
        <v>6.2113286338149033E-2</v>
      </c>
      <c r="U204" s="3">
        <f>IF(mlb_payrolls[[#This Row],[Total Payroll Allocations]]&gt;0,mlb_payrolls[[#This Row],[Buried]]/mlb_payrolls[[#This Row],[Total Payroll Allocations]])</f>
        <v>0</v>
      </c>
      <c r="V204">
        <f>IF(mlb_payrolls[[#This Row],[Postseason]]="No Playoffs",0,1)</f>
        <v>0</v>
      </c>
    </row>
    <row r="205" spans="1:22" x14ac:dyDescent="0.3">
      <c r="A205" t="s">
        <v>19</v>
      </c>
      <c r="B205" t="s">
        <v>20</v>
      </c>
      <c r="C205">
        <v>2019</v>
      </c>
      <c r="D205">
        <v>26.8</v>
      </c>
      <c r="E205" s="1">
        <v>114631137</v>
      </c>
      <c r="F205" s="1">
        <v>72709746</v>
      </c>
      <c r="G205" s="1">
        <v>14738806</v>
      </c>
      <c r="H205" s="1">
        <v>26148511</v>
      </c>
      <c r="I205" s="1">
        <v>1034074</v>
      </c>
      <c r="J205">
        <v>47</v>
      </c>
      <c r="K205">
        <v>114</v>
      </c>
      <c r="L205" t="s">
        <v>14</v>
      </c>
      <c r="M205">
        <f>mlb_payrolls[[#This Row],[Wins]] + mlb_payrolls[[#This Row],[Losses]]</f>
        <v>161</v>
      </c>
      <c r="N205" s="2">
        <f>IF(mlb_payrolls[[#This Row],[Games]] &gt;0, mlb_payrolls[[#This Row],[Wins]]/mlb_payrolls[[#This Row],[Games]], "")</f>
        <v>0.29192546583850931</v>
      </c>
      <c r="O205" s="1">
        <f>IFERROR(VALUE(mlb_payrolls[[#This Row],[Total Payroll Allocations]])/VALUE(mlb_payrolls[[#This Row],[Wins]]),"")</f>
        <v>2438960.3617021278</v>
      </c>
      <c r="P205" s="1">
        <f>SUM(mlb_payrolls[[#This Row],[Active 26-Man]],mlb_payrolls[[#This Row],[Injured]],mlb_payrolls[[#This Row],[Retained]],mlb_payrolls[[#This Row],[Buried]])</f>
        <v>114631137</v>
      </c>
      <c r="Q205" s="1">
        <f>mlb_payrolls[[#This Row],[Total Payroll Allocations]]-mlb_payrolls[[#This Row],[Payroll Parts Sum]]</f>
        <v>0</v>
      </c>
      <c r="R205" s="2">
        <f>IF(mlb_payrolls[[#This Row],[Total Payroll Allocations]]&gt;0, mlb_payrolls[[#This Row],[Active 26-Man]]/mlb_payrolls[[#This Row],[Total Payroll Allocations]],"")</f>
        <v>0.63429315893464444</v>
      </c>
      <c r="S205" s="2">
        <f>IF(mlb_payrolls[[#This Row],[Total Payroll Allocations]]&gt;0,mlb_payrolls[[#This Row],[Injured]]/mlb_payrolls[[#This Row],[Total Payroll Allocations]])</f>
        <v>0.12857593831595687</v>
      </c>
      <c r="T205" s="3">
        <f>IF(mlb_payrolls[[#This Row],[Total Payroll Allocations]]&gt;0,mlb_payrolls[[#This Row],[Retained]]/mlb_payrolls[[#This Row],[Total Payroll Allocations]])</f>
        <v>0.22811002040396755</v>
      </c>
      <c r="U205" s="3">
        <f>IF(mlb_payrolls[[#This Row],[Total Payroll Allocations]]&gt;0,mlb_payrolls[[#This Row],[Buried]]/mlb_payrolls[[#This Row],[Total Payroll Allocations]])</f>
        <v>9.0208823454311551E-3</v>
      </c>
      <c r="V205">
        <f>IF(mlb_payrolls[[#This Row],[Postseason]]="No Playoffs",0,1)</f>
        <v>0</v>
      </c>
    </row>
    <row r="206" spans="1:22" x14ac:dyDescent="0.3">
      <c r="A206" t="s">
        <v>51</v>
      </c>
      <c r="B206" t="s">
        <v>52</v>
      </c>
      <c r="C206">
        <v>2011</v>
      </c>
      <c r="D206">
        <v>28.6</v>
      </c>
      <c r="E206" s="1">
        <v>115174517</v>
      </c>
      <c r="F206" s="1">
        <v>98385517</v>
      </c>
      <c r="G206" s="1">
        <v>0</v>
      </c>
      <c r="H206" s="1">
        <v>16789000</v>
      </c>
      <c r="I206" s="1">
        <v>0</v>
      </c>
      <c r="J206">
        <v>82</v>
      </c>
      <c r="K206">
        <v>79</v>
      </c>
      <c r="L206" t="s">
        <v>14</v>
      </c>
      <c r="M206">
        <f>mlb_payrolls[[#This Row],[Wins]] + mlb_payrolls[[#This Row],[Losses]]</f>
        <v>161</v>
      </c>
      <c r="N206" s="2">
        <f>IF(mlb_payrolls[[#This Row],[Games]] &gt;0, mlb_payrolls[[#This Row],[Wins]]/mlb_payrolls[[#This Row],[Games]], "")</f>
        <v>0.50931677018633537</v>
      </c>
      <c r="O206" s="1">
        <f>IFERROR(VALUE(mlb_payrolls[[#This Row],[Total Payroll Allocations]])/VALUE(mlb_payrolls[[#This Row],[Wins]]),"")</f>
        <v>1404567.2804878049</v>
      </c>
      <c r="P206" s="1">
        <f>SUM(mlb_payrolls[[#This Row],[Active 26-Man]],mlb_payrolls[[#This Row],[Injured]],mlb_payrolls[[#This Row],[Retained]],mlb_payrolls[[#This Row],[Buried]])</f>
        <v>115174517</v>
      </c>
      <c r="Q206" s="1">
        <f>mlb_payrolls[[#This Row],[Total Payroll Allocations]]-mlb_payrolls[[#This Row],[Payroll Parts Sum]]</f>
        <v>0</v>
      </c>
      <c r="R206" s="2">
        <f>IF(mlb_payrolls[[#This Row],[Total Payroll Allocations]]&gt;0, mlb_payrolls[[#This Row],[Active 26-Man]]/mlb_payrolls[[#This Row],[Total Payroll Allocations]],"")</f>
        <v>0.85422990747163285</v>
      </c>
      <c r="S206" s="2">
        <f>IF(mlb_payrolls[[#This Row],[Total Payroll Allocations]]&gt;0,mlb_payrolls[[#This Row],[Injured]]/mlb_payrolls[[#This Row],[Total Payroll Allocations]])</f>
        <v>0</v>
      </c>
      <c r="T206" s="3">
        <f>IF(mlb_payrolls[[#This Row],[Total Payroll Allocations]]&gt;0,mlb_payrolls[[#This Row],[Retained]]/mlb_payrolls[[#This Row],[Total Payroll Allocations]])</f>
        <v>0.1457700925283672</v>
      </c>
      <c r="U206" s="3">
        <f>IF(mlb_payrolls[[#This Row],[Total Payroll Allocations]]&gt;0,mlb_payrolls[[#This Row],[Buried]]/mlb_payrolls[[#This Row],[Total Payroll Allocations]])</f>
        <v>0</v>
      </c>
      <c r="V206">
        <f>IF(mlb_payrolls[[#This Row],[Postseason]]="No Playoffs",0,1)</f>
        <v>0</v>
      </c>
    </row>
    <row r="207" spans="1:22" x14ac:dyDescent="0.3">
      <c r="A207" t="s">
        <v>27</v>
      </c>
      <c r="B207" t="s">
        <v>28</v>
      </c>
      <c r="C207">
        <v>2023</v>
      </c>
      <c r="D207">
        <v>28.9</v>
      </c>
      <c r="E207" s="1">
        <v>115413345</v>
      </c>
      <c r="F207" s="1">
        <v>86339557</v>
      </c>
      <c r="G207" s="1">
        <v>11924851</v>
      </c>
      <c r="H207" s="1">
        <v>13590062</v>
      </c>
      <c r="I207" s="1">
        <v>3260808</v>
      </c>
      <c r="J207">
        <v>92</v>
      </c>
      <c r="K207">
        <v>70</v>
      </c>
      <c r="L207" t="s">
        <v>24</v>
      </c>
      <c r="M207">
        <f>mlb_payrolls[[#This Row],[Wins]] + mlb_payrolls[[#This Row],[Losses]]</f>
        <v>162</v>
      </c>
      <c r="N207" s="2">
        <f>IF(mlb_payrolls[[#This Row],[Games]] &gt;0, mlb_payrolls[[#This Row],[Wins]]/mlb_payrolls[[#This Row],[Games]], "")</f>
        <v>0.5679012345679012</v>
      </c>
      <c r="O207" s="1">
        <f>IFERROR(VALUE(mlb_payrolls[[#This Row],[Total Payroll Allocations]])/VALUE(mlb_payrolls[[#This Row],[Wins]]),"")</f>
        <v>1254492.8804347827</v>
      </c>
      <c r="P207" s="1">
        <f>SUM(mlb_payrolls[[#This Row],[Active 26-Man]],mlb_payrolls[[#This Row],[Injured]],mlb_payrolls[[#This Row],[Retained]],mlb_payrolls[[#This Row],[Buried]])</f>
        <v>115115278</v>
      </c>
      <c r="Q207" s="1">
        <f>mlb_payrolls[[#This Row],[Total Payroll Allocations]]-mlb_payrolls[[#This Row],[Payroll Parts Sum]]</f>
        <v>298067</v>
      </c>
      <c r="R207" s="2">
        <f>IF(mlb_payrolls[[#This Row],[Total Payroll Allocations]]&gt;0, mlb_payrolls[[#This Row],[Active 26-Man]]/mlb_payrolls[[#This Row],[Total Payroll Allocations]],"")</f>
        <v>0.74808989376401835</v>
      </c>
      <c r="S207" s="2">
        <f>IF(mlb_payrolls[[#This Row],[Total Payroll Allocations]]&gt;0,mlb_payrolls[[#This Row],[Injured]]/mlb_payrolls[[#This Row],[Total Payroll Allocations]])</f>
        <v>0.10332298227730943</v>
      </c>
      <c r="T207" s="3">
        <f>IF(mlb_payrolls[[#This Row],[Total Payroll Allocations]]&gt;0,mlb_payrolls[[#This Row],[Retained]]/mlb_payrolls[[#This Row],[Total Payroll Allocations]])</f>
        <v>0.11775121845744961</v>
      </c>
      <c r="U207" s="3">
        <f>IF(mlb_payrolls[[#This Row],[Total Payroll Allocations]]&gt;0,mlb_payrolls[[#This Row],[Buried]]/mlb_payrolls[[#This Row],[Total Payroll Allocations]])</f>
        <v>2.825330121053159E-2</v>
      </c>
      <c r="V207">
        <f>IF(mlb_payrolls[[#This Row],[Postseason]]="No Playoffs",0,1)</f>
        <v>1</v>
      </c>
    </row>
    <row r="208" spans="1:22" x14ac:dyDescent="0.3">
      <c r="A208" t="s">
        <v>29</v>
      </c>
      <c r="B208" t="s">
        <v>30</v>
      </c>
      <c r="C208">
        <v>2022</v>
      </c>
      <c r="D208">
        <v>27.9</v>
      </c>
      <c r="E208" s="1">
        <v>115417321</v>
      </c>
      <c r="F208" s="1">
        <v>22546012</v>
      </c>
      <c r="G208" s="1">
        <v>61180258</v>
      </c>
      <c r="H208" s="1">
        <v>30148483</v>
      </c>
      <c r="I208" s="1">
        <v>1542568</v>
      </c>
      <c r="J208">
        <v>62</v>
      </c>
      <c r="K208">
        <v>100</v>
      </c>
      <c r="L208" t="s">
        <v>14</v>
      </c>
      <c r="M208">
        <f>mlb_payrolls[[#This Row],[Wins]] + mlb_payrolls[[#This Row],[Losses]]</f>
        <v>162</v>
      </c>
      <c r="N208" s="2">
        <f>IF(mlb_payrolls[[#This Row],[Games]] &gt;0, mlb_payrolls[[#This Row],[Wins]]/mlb_payrolls[[#This Row],[Games]], "")</f>
        <v>0.38271604938271603</v>
      </c>
      <c r="O208" s="1">
        <f>IFERROR(VALUE(mlb_payrolls[[#This Row],[Total Payroll Allocations]])/VALUE(mlb_payrolls[[#This Row],[Wins]]),"")</f>
        <v>1861569.6935483871</v>
      </c>
      <c r="P208" s="1">
        <f>SUM(mlb_payrolls[[#This Row],[Active 26-Man]],mlb_payrolls[[#This Row],[Injured]],mlb_payrolls[[#This Row],[Retained]],mlb_payrolls[[#This Row],[Buried]])</f>
        <v>115417321</v>
      </c>
      <c r="Q208" s="1">
        <f>mlb_payrolls[[#This Row],[Total Payroll Allocations]]-mlb_payrolls[[#This Row],[Payroll Parts Sum]]</f>
        <v>0</v>
      </c>
      <c r="R208" s="2">
        <f>IF(mlb_payrolls[[#This Row],[Total Payroll Allocations]]&gt;0, mlb_payrolls[[#This Row],[Active 26-Man]]/mlb_payrolls[[#This Row],[Total Payroll Allocations]],"")</f>
        <v>0.19534340084015639</v>
      </c>
      <c r="S208" s="2">
        <f>IF(mlb_payrolls[[#This Row],[Total Payroll Allocations]]&gt;0,mlb_payrolls[[#This Row],[Injured]]/mlb_payrolls[[#This Row],[Total Payroll Allocations]])</f>
        <v>0.5300786525793646</v>
      </c>
      <c r="T208" s="3">
        <f>IF(mlb_payrolls[[#This Row],[Total Payroll Allocations]]&gt;0,mlb_payrolls[[#This Row],[Retained]]/mlb_payrolls[[#This Row],[Total Payroll Allocations]])</f>
        <v>0.26121281224332005</v>
      </c>
      <c r="U208" s="3">
        <f>IF(mlb_payrolls[[#This Row],[Total Payroll Allocations]]&gt;0,mlb_payrolls[[#This Row],[Buried]]/mlb_payrolls[[#This Row],[Total Payroll Allocations]])</f>
        <v>1.3365134337158979E-2</v>
      </c>
      <c r="V208">
        <f>IF(mlb_payrolls[[#This Row],[Postseason]]="No Playoffs",0,1)</f>
        <v>0</v>
      </c>
    </row>
    <row r="209" spans="1:22" x14ac:dyDescent="0.3">
      <c r="A209" t="s">
        <v>37</v>
      </c>
      <c r="B209" t="s">
        <v>38</v>
      </c>
      <c r="C209">
        <v>2018</v>
      </c>
      <c r="D209">
        <v>27.1</v>
      </c>
      <c r="E209" s="1">
        <v>115509520</v>
      </c>
      <c r="F209" s="1">
        <v>56254373</v>
      </c>
      <c r="G209" s="1">
        <v>29213890</v>
      </c>
      <c r="H209" s="1">
        <v>29264527</v>
      </c>
      <c r="I209" s="1">
        <v>776730</v>
      </c>
      <c r="J209">
        <v>78</v>
      </c>
      <c r="K209">
        <v>84</v>
      </c>
      <c r="L209" t="s">
        <v>14</v>
      </c>
      <c r="M209">
        <f>mlb_payrolls[[#This Row],[Wins]] + mlb_payrolls[[#This Row],[Losses]]</f>
        <v>162</v>
      </c>
      <c r="N209" s="2">
        <f>IF(mlb_payrolls[[#This Row],[Games]] &gt;0, mlb_payrolls[[#This Row],[Wins]]/mlb_payrolls[[#This Row],[Games]], "")</f>
        <v>0.48148148148148145</v>
      </c>
      <c r="O209" s="1">
        <f>IFERROR(VALUE(mlb_payrolls[[#This Row],[Total Payroll Allocations]])/VALUE(mlb_payrolls[[#This Row],[Wins]]),"")</f>
        <v>1480891.282051282</v>
      </c>
      <c r="P209" s="1">
        <f>SUM(mlb_payrolls[[#This Row],[Active 26-Man]],mlb_payrolls[[#This Row],[Injured]],mlb_payrolls[[#This Row],[Retained]],mlb_payrolls[[#This Row],[Buried]])</f>
        <v>115509520</v>
      </c>
      <c r="Q209" s="1">
        <f>mlb_payrolls[[#This Row],[Total Payroll Allocations]]-mlb_payrolls[[#This Row],[Payroll Parts Sum]]</f>
        <v>0</v>
      </c>
      <c r="R209" s="2">
        <f>IF(mlb_payrolls[[#This Row],[Total Payroll Allocations]]&gt;0, mlb_payrolls[[#This Row],[Active 26-Man]]/mlb_payrolls[[#This Row],[Total Payroll Allocations]],"")</f>
        <v>0.4870107069962718</v>
      </c>
      <c r="S209" s="2">
        <f>IF(mlb_payrolls[[#This Row],[Total Payroll Allocations]]&gt;0,mlb_payrolls[[#This Row],[Injured]]/mlb_payrolls[[#This Row],[Total Payroll Allocations]])</f>
        <v>0.25291326636973299</v>
      </c>
      <c r="T209" s="3">
        <f>IF(mlb_payrolls[[#This Row],[Total Payroll Allocations]]&gt;0,mlb_payrolls[[#This Row],[Retained]]/mlb_payrolls[[#This Row],[Total Payroll Allocations]])</f>
        <v>0.25335164582105441</v>
      </c>
      <c r="U209" s="3">
        <f>IF(mlb_payrolls[[#This Row],[Total Payroll Allocations]]&gt;0,mlb_payrolls[[#This Row],[Buried]]/mlb_payrolls[[#This Row],[Total Payroll Allocations]])</f>
        <v>6.7243808129407862E-3</v>
      </c>
      <c r="V209">
        <f>IF(mlb_payrolls[[#This Row],[Postseason]]="No Playoffs",0,1)</f>
        <v>0</v>
      </c>
    </row>
    <row r="210" spans="1:22" x14ac:dyDescent="0.3">
      <c r="A210" t="s">
        <v>39</v>
      </c>
      <c r="B210" t="s">
        <v>40</v>
      </c>
      <c r="C210">
        <v>2014</v>
      </c>
      <c r="D210">
        <v>27.5</v>
      </c>
      <c r="E210" s="1">
        <v>115534174</v>
      </c>
      <c r="F210" s="1">
        <v>100330060</v>
      </c>
      <c r="G210" s="1">
        <v>0</v>
      </c>
      <c r="H210" s="1">
        <v>12504114</v>
      </c>
      <c r="I210" s="1">
        <v>1700000</v>
      </c>
      <c r="J210">
        <v>87</v>
      </c>
      <c r="K210">
        <v>75</v>
      </c>
      <c r="L210" t="s">
        <v>14</v>
      </c>
      <c r="M210">
        <f>mlb_payrolls[[#This Row],[Wins]] + mlb_payrolls[[#This Row],[Losses]]</f>
        <v>162</v>
      </c>
      <c r="N210" s="2">
        <f>IF(mlb_payrolls[[#This Row],[Games]] &gt;0, mlb_payrolls[[#This Row],[Wins]]/mlb_payrolls[[#This Row],[Games]], "")</f>
        <v>0.53703703703703709</v>
      </c>
      <c r="O210" s="1">
        <f>IFERROR(VALUE(mlb_payrolls[[#This Row],[Total Payroll Allocations]])/VALUE(mlb_payrolls[[#This Row],[Wins]]),"")</f>
        <v>1327979.0114942528</v>
      </c>
      <c r="P210" s="1">
        <f>SUM(mlb_payrolls[[#This Row],[Active 26-Man]],mlb_payrolls[[#This Row],[Injured]],mlb_payrolls[[#This Row],[Retained]],mlb_payrolls[[#This Row],[Buried]])</f>
        <v>114534174</v>
      </c>
      <c r="Q210" s="1">
        <f>mlb_payrolls[[#This Row],[Total Payroll Allocations]]-mlb_payrolls[[#This Row],[Payroll Parts Sum]]</f>
        <v>1000000</v>
      </c>
      <c r="R210" s="2">
        <f>IF(mlb_payrolls[[#This Row],[Total Payroll Allocations]]&gt;0, mlb_payrolls[[#This Row],[Active 26-Man]]/mlb_payrolls[[#This Row],[Total Payroll Allocations]],"")</f>
        <v>0.86840158652971366</v>
      </c>
      <c r="S210" s="2">
        <f>IF(mlb_payrolls[[#This Row],[Total Payroll Allocations]]&gt;0,mlb_payrolls[[#This Row],[Injured]]/mlb_payrolls[[#This Row],[Total Payroll Allocations]])</f>
        <v>0</v>
      </c>
      <c r="T210" s="3">
        <f>IF(mlb_payrolls[[#This Row],[Total Payroll Allocations]]&gt;0,mlb_payrolls[[#This Row],[Retained]]/mlb_payrolls[[#This Row],[Total Payroll Allocations]])</f>
        <v>0.10822870469476849</v>
      </c>
      <c r="U210" s="3">
        <f>IF(mlb_payrolls[[#This Row],[Total Payroll Allocations]]&gt;0,mlb_payrolls[[#This Row],[Buried]]/mlb_payrolls[[#This Row],[Total Payroll Allocations]])</f>
        <v>1.4714261080881575E-2</v>
      </c>
      <c r="V210">
        <f>IF(mlb_payrolls[[#This Row],[Postseason]]="No Playoffs",0,1)</f>
        <v>0</v>
      </c>
    </row>
    <row r="211" spans="1:22" x14ac:dyDescent="0.3">
      <c r="A211" t="s">
        <v>61</v>
      </c>
      <c r="B211" t="s">
        <v>62</v>
      </c>
      <c r="C211">
        <v>2012</v>
      </c>
      <c r="D211">
        <v>26.4</v>
      </c>
      <c r="E211" s="1">
        <v>115861526</v>
      </c>
      <c r="F211" s="1">
        <v>83319366</v>
      </c>
      <c r="G211" s="1">
        <v>0</v>
      </c>
      <c r="H211" s="1">
        <v>32542160</v>
      </c>
      <c r="I211" s="1">
        <v>0</v>
      </c>
      <c r="J211">
        <v>61</v>
      </c>
      <c r="K211">
        <v>101</v>
      </c>
      <c r="L211" t="s">
        <v>14</v>
      </c>
      <c r="M211">
        <f>mlb_payrolls[[#This Row],[Wins]] + mlb_payrolls[[#This Row],[Losses]]</f>
        <v>162</v>
      </c>
      <c r="N211" s="2">
        <f>IF(mlb_payrolls[[#This Row],[Games]] &gt;0, mlb_payrolls[[#This Row],[Wins]]/mlb_payrolls[[#This Row],[Games]], "")</f>
        <v>0.37654320987654322</v>
      </c>
      <c r="O211" s="1">
        <f>IFERROR(VALUE(mlb_payrolls[[#This Row],[Total Payroll Allocations]])/VALUE(mlb_payrolls[[#This Row],[Wins]]),"")</f>
        <v>1899369.2786885246</v>
      </c>
      <c r="P211" s="1">
        <f>SUM(mlb_payrolls[[#This Row],[Active 26-Man]],mlb_payrolls[[#This Row],[Injured]],mlb_payrolls[[#This Row],[Retained]],mlb_payrolls[[#This Row],[Buried]])</f>
        <v>115861526</v>
      </c>
      <c r="Q211" s="1">
        <f>mlb_payrolls[[#This Row],[Total Payroll Allocations]]-mlb_payrolls[[#This Row],[Payroll Parts Sum]]</f>
        <v>0</v>
      </c>
      <c r="R211" s="2">
        <f>IF(mlb_payrolls[[#This Row],[Total Payroll Allocations]]&gt;0, mlb_payrolls[[#This Row],[Active 26-Man]]/mlb_payrolls[[#This Row],[Total Payroll Allocations]],"")</f>
        <v>0.71912885041752339</v>
      </c>
      <c r="S211" s="2">
        <f>IF(mlb_payrolls[[#This Row],[Total Payroll Allocations]]&gt;0,mlb_payrolls[[#This Row],[Injured]]/mlb_payrolls[[#This Row],[Total Payroll Allocations]])</f>
        <v>0</v>
      </c>
      <c r="T211" s="3">
        <f>IF(mlb_payrolls[[#This Row],[Total Payroll Allocations]]&gt;0,mlb_payrolls[[#This Row],[Retained]]/mlb_payrolls[[#This Row],[Total Payroll Allocations]])</f>
        <v>0.28087114958247661</v>
      </c>
      <c r="U211" s="3">
        <f>IF(mlb_payrolls[[#This Row],[Total Payroll Allocations]]&gt;0,mlb_payrolls[[#This Row],[Buried]]/mlb_payrolls[[#This Row],[Total Payroll Allocations]])</f>
        <v>0</v>
      </c>
      <c r="V211">
        <f>IF(mlb_payrolls[[#This Row],[Postseason]]="No Playoffs",0,1)</f>
        <v>0</v>
      </c>
    </row>
    <row r="212" spans="1:22" x14ac:dyDescent="0.3">
      <c r="A212" t="s">
        <v>49</v>
      </c>
      <c r="B212" t="s">
        <v>50</v>
      </c>
      <c r="C212">
        <v>2021</v>
      </c>
      <c r="D212">
        <v>27.7</v>
      </c>
      <c r="E212" s="1">
        <v>116208966</v>
      </c>
      <c r="F212" s="1">
        <v>79695422</v>
      </c>
      <c r="G212" s="1">
        <v>5931272</v>
      </c>
      <c r="H212" s="1">
        <v>19571956</v>
      </c>
      <c r="I212" s="1">
        <v>3010316</v>
      </c>
      <c r="J212">
        <v>74</v>
      </c>
      <c r="K212">
        <v>87</v>
      </c>
      <c r="L212" t="s">
        <v>14</v>
      </c>
      <c r="M212">
        <f>mlb_payrolls[[#This Row],[Wins]] + mlb_payrolls[[#This Row],[Losses]]</f>
        <v>161</v>
      </c>
      <c r="N212" s="2">
        <f>IF(mlb_payrolls[[#This Row],[Games]] &gt;0, mlb_payrolls[[#This Row],[Wins]]/mlb_payrolls[[#This Row],[Games]], "")</f>
        <v>0.45962732919254656</v>
      </c>
      <c r="O212" s="1">
        <f>IFERROR(VALUE(mlb_payrolls[[#This Row],[Total Payroll Allocations]])/VALUE(mlb_payrolls[[#This Row],[Wins]]),"")</f>
        <v>1570391.4324324324</v>
      </c>
      <c r="P212" s="1">
        <f>SUM(mlb_payrolls[[#This Row],[Active 26-Man]],mlb_payrolls[[#This Row],[Injured]],mlb_payrolls[[#This Row],[Retained]],mlb_payrolls[[#This Row],[Buried]])</f>
        <v>108208966</v>
      </c>
      <c r="Q212" s="1">
        <f>mlb_payrolls[[#This Row],[Total Payroll Allocations]]-mlb_payrolls[[#This Row],[Payroll Parts Sum]]</f>
        <v>8000000</v>
      </c>
      <c r="R212" s="2">
        <f>IF(mlb_payrolls[[#This Row],[Total Payroll Allocations]]&gt;0, mlb_payrolls[[#This Row],[Active 26-Man]]/mlb_payrolls[[#This Row],[Total Payroll Allocations]],"")</f>
        <v>0.68579408924437035</v>
      </c>
      <c r="S212" s="2">
        <f>IF(mlb_payrolls[[#This Row],[Total Payroll Allocations]]&gt;0,mlb_payrolls[[#This Row],[Injured]]/mlb_payrolls[[#This Row],[Total Payroll Allocations]])</f>
        <v>5.1039710653651288E-2</v>
      </c>
      <c r="T212" s="3">
        <f>IF(mlb_payrolls[[#This Row],[Total Payroll Allocations]]&gt;0,mlb_payrolls[[#This Row],[Retained]]/mlb_payrolls[[#This Row],[Total Payroll Allocations]])</f>
        <v>0.1684203609556254</v>
      </c>
      <c r="U212" s="3">
        <f>IF(mlb_payrolls[[#This Row],[Total Payroll Allocations]]&gt;0,mlb_payrolls[[#This Row],[Buried]]/mlb_payrolls[[#This Row],[Total Payroll Allocations]])</f>
        <v>2.5904335126774987E-2</v>
      </c>
      <c r="V212">
        <f>IF(mlb_payrolls[[#This Row],[Postseason]]="No Playoffs",0,1)</f>
        <v>0</v>
      </c>
    </row>
    <row r="213" spans="1:22" x14ac:dyDescent="0.3">
      <c r="A213" t="s">
        <v>25</v>
      </c>
      <c r="B213" t="s">
        <v>26</v>
      </c>
      <c r="C213">
        <v>2015</v>
      </c>
      <c r="D213">
        <v>27.5</v>
      </c>
      <c r="E213" s="1">
        <v>116400870</v>
      </c>
      <c r="F213" s="1">
        <v>97083315</v>
      </c>
      <c r="G213" s="1">
        <v>1245000</v>
      </c>
      <c r="H213" s="1">
        <v>17776584</v>
      </c>
      <c r="I213" s="1">
        <v>295971</v>
      </c>
      <c r="J213">
        <v>81</v>
      </c>
      <c r="K213">
        <v>81</v>
      </c>
      <c r="L213" t="s">
        <v>14</v>
      </c>
      <c r="M213">
        <f>mlb_payrolls[[#This Row],[Wins]] + mlb_payrolls[[#This Row],[Losses]]</f>
        <v>162</v>
      </c>
      <c r="N213" s="2">
        <f>IF(mlb_payrolls[[#This Row],[Games]] &gt;0, mlb_payrolls[[#This Row],[Wins]]/mlb_payrolls[[#This Row],[Games]], "")</f>
        <v>0.5</v>
      </c>
      <c r="O213" s="1">
        <f>IFERROR(VALUE(mlb_payrolls[[#This Row],[Total Payroll Allocations]])/VALUE(mlb_payrolls[[#This Row],[Wins]]),"")</f>
        <v>1437047.7777777778</v>
      </c>
      <c r="P213" s="1">
        <f>SUM(mlb_payrolls[[#This Row],[Active 26-Man]],mlb_payrolls[[#This Row],[Injured]],mlb_payrolls[[#This Row],[Retained]],mlb_payrolls[[#This Row],[Buried]])</f>
        <v>116400870</v>
      </c>
      <c r="Q213" s="1">
        <f>mlb_payrolls[[#This Row],[Total Payroll Allocations]]-mlb_payrolls[[#This Row],[Payroll Parts Sum]]</f>
        <v>0</v>
      </c>
      <c r="R213" s="2">
        <f>IF(mlb_payrolls[[#This Row],[Total Payroll Allocations]]&gt;0, mlb_payrolls[[#This Row],[Active 26-Man]]/mlb_payrolls[[#This Row],[Total Payroll Allocations]],"")</f>
        <v>0.83404286411261364</v>
      </c>
      <c r="S213" s="2">
        <f>IF(mlb_payrolls[[#This Row],[Total Payroll Allocations]]&gt;0,mlb_payrolls[[#This Row],[Injured]]/mlb_payrolls[[#This Row],[Total Payroll Allocations]])</f>
        <v>1.0695796345852054E-2</v>
      </c>
      <c r="T213" s="3">
        <f>IF(mlb_payrolls[[#This Row],[Total Payroll Allocations]]&gt;0,mlb_payrolls[[#This Row],[Retained]]/mlb_payrolls[[#This Row],[Total Payroll Allocations]])</f>
        <v>0.15271865236058801</v>
      </c>
      <c r="U213" s="3">
        <f>IF(mlb_payrolls[[#This Row],[Total Payroll Allocations]]&gt;0,mlb_payrolls[[#This Row],[Buried]]/mlb_payrolls[[#This Row],[Total Payroll Allocations]])</f>
        <v>2.5426871809463279E-3</v>
      </c>
      <c r="V213">
        <f>IF(mlb_payrolls[[#This Row],[Postseason]]="No Playoffs",0,1)</f>
        <v>0</v>
      </c>
    </row>
    <row r="214" spans="1:22" x14ac:dyDescent="0.3">
      <c r="A214" t="s">
        <v>33</v>
      </c>
      <c r="B214" t="s">
        <v>34</v>
      </c>
      <c r="C214">
        <v>2013</v>
      </c>
      <c r="D214">
        <v>26.9</v>
      </c>
      <c r="E214" s="1">
        <v>116584094</v>
      </c>
      <c r="F214" s="1">
        <v>107973970</v>
      </c>
      <c r="G214" s="1">
        <v>491000</v>
      </c>
      <c r="H214" s="1">
        <v>6025410</v>
      </c>
      <c r="I214" s="1">
        <v>2093714</v>
      </c>
      <c r="J214">
        <v>86</v>
      </c>
      <c r="K214">
        <v>76</v>
      </c>
      <c r="L214" t="s">
        <v>14</v>
      </c>
      <c r="M214">
        <f>mlb_payrolls[[#This Row],[Wins]] + mlb_payrolls[[#This Row],[Losses]]</f>
        <v>162</v>
      </c>
      <c r="N214" s="2">
        <f>IF(mlb_payrolls[[#This Row],[Games]] &gt;0, mlb_payrolls[[#This Row],[Wins]]/mlb_payrolls[[#This Row],[Games]], "")</f>
        <v>0.53086419753086422</v>
      </c>
      <c r="O214" s="1">
        <f>IFERROR(VALUE(mlb_payrolls[[#This Row],[Total Payroll Allocations]])/VALUE(mlb_payrolls[[#This Row],[Wins]]),"")</f>
        <v>1355629</v>
      </c>
      <c r="P214" s="1">
        <f>SUM(mlb_payrolls[[#This Row],[Active 26-Man]],mlb_payrolls[[#This Row],[Injured]],mlb_payrolls[[#This Row],[Retained]],mlb_payrolls[[#This Row],[Buried]])</f>
        <v>116584094</v>
      </c>
      <c r="Q214" s="1">
        <f>mlb_payrolls[[#This Row],[Total Payroll Allocations]]-mlb_payrolls[[#This Row],[Payroll Parts Sum]]</f>
        <v>0</v>
      </c>
      <c r="R214" s="2">
        <f>IF(mlb_payrolls[[#This Row],[Total Payroll Allocations]]&gt;0, mlb_payrolls[[#This Row],[Active 26-Man]]/mlb_payrolls[[#This Row],[Total Payroll Allocations]],"")</f>
        <v>0.92614666628536824</v>
      </c>
      <c r="S214" s="2">
        <f>IF(mlb_payrolls[[#This Row],[Total Payroll Allocations]]&gt;0,mlb_payrolls[[#This Row],[Injured]]/mlb_payrolls[[#This Row],[Total Payroll Allocations]])</f>
        <v>4.2115522208372612E-3</v>
      </c>
      <c r="T214" s="3">
        <f>IF(mlb_payrolls[[#This Row],[Total Payroll Allocations]]&gt;0,mlb_payrolls[[#This Row],[Retained]]/mlb_payrolls[[#This Row],[Total Payroll Allocations]])</f>
        <v>5.1682950849195601E-2</v>
      </c>
      <c r="U214" s="3">
        <f>IF(mlb_payrolls[[#This Row],[Total Payroll Allocations]]&gt;0,mlb_payrolls[[#This Row],[Buried]]/mlb_payrolls[[#This Row],[Total Payroll Allocations]])</f>
        <v>1.7958830644598911E-2</v>
      </c>
      <c r="V214">
        <f>IF(mlb_payrolls[[#This Row],[Postseason]]="No Playoffs",0,1)</f>
        <v>0</v>
      </c>
    </row>
    <row r="215" spans="1:22" x14ac:dyDescent="0.3">
      <c r="A215" t="s">
        <v>43</v>
      </c>
      <c r="B215" t="s">
        <v>44</v>
      </c>
      <c r="C215">
        <v>2023</v>
      </c>
      <c r="D215">
        <v>27.6</v>
      </c>
      <c r="E215" s="1">
        <v>116777354</v>
      </c>
      <c r="F215" s="1">
        <v>60263998</v>
      </c>
      <c r="G215" s="1">
        <v>11197775</v>
      </c>
      <c r="H215" s="1">
        <v>39202529</v>
      </c>
      <c r="I215" s="1">
        <v>6113052</v>
      </c>
      <c r="J215">
        <v>84</v>
      </c>
      <c r="K215">
        <v>78</v>
      </c>
      <c r="L215" t="s">
        <v>21</v>
      </c>
      <c r="M215">
        <f>mlb_payrolls[[#This Row],[Wins]] + mlb_payrolls[[#This Row],[Losses]]</f>
        <v>162</v>
      </c>
      <c r="N215" s="2">
        <f>IF(mlb_payrolls[[#This Row],[Games]] &gt;0, mlb_payrolls[[#This Row],[Wins]]/mlb_payrolls[[#This Row],[Games]], "")</f>
        <v>0.51851851851851849</v>
      </c>
      <c r="O215" s="1">
        <f>IFERROR(VALUE(mlb_payrolls[[#This Row],[Total Payroll Allocations]])/VALUE(mlb_payrolls[[#This Row],[Wins]]),"")</f>
        <v>1390206.5952380951</v>
      </c>
      <c r="P215" s="1">
        <f>SUM(mlb_payrolls[[#This Row],[Active 26-Man]],mlb_payrolls[[#This Row],[Injured]],mlb_payrolls[[#This Row],[Retained]],mlb_payrolls[[#This Row],[Buried]])</f>
        <v>116777354</v>
      </c>
      <c r="Q215" s="1">
        <f>mlb_payrolls[[#This Row],[Total Payroll Allocations]]-mlb_payrolls[[#This Row],[Payroll Parts Sum]]</f>
        <v>0</v>
      </c>
      <c r="R215" s="2">
        <f>IF(mlb_payrolls[[#This Row],[Total Payroll Allocations]]&gt;0, mlb_payrolls[[#This Row],[Active 26-Man]]/mlb_payrolls[[#This Row],[Total Payroll Allocations]],"")</f>
        <v>0.51605894409972675</v>
      </c>
      <c r="S215" s="2">
        <f>IF(mlb_payrolls[[#This Row],[Total Payroll Allocations]]&gt;0,mlb_payrolls[[#This Row],[Injured]]/mlb_payrolls[[#This Row],[Total Payroll Allocations]])</f>
        <v>9.5889953115395984E-2</v>
      </c>
      <c r="T215" s="3">
        <f>IF(mlb_payrolls[[#This Row],[Total Payroll Allocations]]&gt;0,mlb_payrolls[[#This Row],[Retained]]/mlb_payrolls[[#This Row],[Total Payroll Allocations]])</f>
        <v>0.33570317923113757</v>
      </c>
      <c r="U215" s="3">
        <f>IF(mlb_payrolls[[#This Row],[Total Payroll Allocations]]&gt;0,mlb_payrolls[[#This Row],[Buried]]/mlb_payrolls[[#This Row],[Total Payroll Allocations]])</f>
        <v>5.2347923553739711E-2</v>
      </c>
      <c r="V215">
        <f>IF(mlb_payrolls[[#This Row],[Postseason]]="No Playoffs",0,1)</f>
        <v>1</v>
      </c>
    </row>
    <row r="216" spans="1:22" x14ac:dyDescent="0.3">
      <c r="A216" t="s">
        <v>57</v>
      </c>
      <c r="B216" t="s">
        <v>58</v>
      </c>
      <c r="C216">
        <v>2014</v>
      </c>
      <c r="D216">
        <v>27</v>
      </c>
      <c r="E216" s="1">
        <v>116865707</v>
      </c>
      <c r="F216" s="1">
        <v>102713304</v>
      </c>
      <c r="G216" s="1">
        <v>0</v>
      </c>
      <c r="H216" s="1">
        <v>14100492</v>
      </c>
      <c r="I216" s="1">
        <v>51911</v>
      </c>
      <c r="J216">
        <v>79</v>
      </c>
      <c r="K216">
        <v>83</v>
      </c>
      <c r="L216" t="s">
        <v>14</v>
      </c>
      <c r="M216">
        <f>mlb_payrolls[[#This Row],[Wins]] + mlb_payrolls[[#This Row],[Losses]]</f>
        <v>162</v>
      </c>
      <c r="N216" s="2">
        <f>IF(mlb_payrolls[[#This Row],[Games]] &gt;0, mlb_payrolls[[#This Row],[Wins]]/mlb_payrolls[[#This Row],[Games]], "")</f>
        <v>0.48765432098765432</v>
      </c>
      <c r="O216" s="1">
        <f>IFERROR(VALUE(mlb_payrolls[[#This Row],[Total Payroll Allocations]])/VALUE(mlb_payrolls[[#This Row],[Wins]]),"")</f>
        <v>1479312.746835443</v>
      </c>
      <c r="P216" s="1">
        <f>SUM(mlb_payrolls[[#This Row],[Active 26-Man]],mlb_payrolls[[#This Row],[Injured]],mlb_payrolls[[#This Row],[Retained]],mlb_payrolls[[#This Row],[Buried]])</f>
        <v>116865707</v>
      </c>
      <c r="Q216" s="1">
        <f>mlb_payrolls[[#This Row],[Total Payroll Allocations]]-mlb_payrolls[[#This Row],[Payroll Parts Sum]]</f>
        <v>0</v>
      </c>
      <c r="R216" s="2">
        <f>IF(mlb_payrolls[[#This Row],[Total Payroll Allocations]]&gt;0, mlb_payrolls[[#This Row],[Active 26-Man]]/mlb_payrolls[[#This Row],[Total Payroll Allocations]],"")</f>
        <v>0.87890029193936248</v>
      </c>
      <c r="S216" s="2">
        <f>IF(mlb_payrolls[[#This Row],[Total Payroll Allocations]]&gt;0,mlb_payrolls[[#This Row],[Injured]]/mlb_payrolls[[#This Row],[Total Payroll Allocations]])</f>
        <v>0</v>
      </c>
      <c r="T216" s="3">
        <f>IF(mlb_payrolls[[#This Row],[Total Payroll Allocations]]&gt;0,mlb_payrolls[[#This Row],[Retained]]/mlb_payrolls[[#This Row],[Total Payroll Allocations]])</f>
        <v>0.1206555144530123</v>
      </c>
      <c r="U216" s="3">
        <f>IF(mlb_payrolls[[#This Row],[Total Payroll Allocations]]&gt;0,mlb_payrolls[[#This Row],[Buried]]/mlb_payrolls[[#This Row],[Total Payroll Allocations]])</f>
        <v>4.4419360762520352E-4</v>
      </c>
      <c r="V216">
        <f>IF(mlb_payrolls[[#This Row],[Postseason]]="No Playoffs",0,1)</f>
        <v>0</v>
      </c>
    </row>
    <row r="217" spans="1:22" x14ac:dyDescent="0.3">
      <c r="A217" t="s">
        <v>69</v>
      </c>
      <c r="B217" t="s">
        <v>70</v>
      </c>
      <c r="C217">
        <v>2015</v>
      </c>
      <c r="D217">
        <v>27.4</v>
      </c>
      <c r="E217" s="1">
        <v>116925487</v>
      </c>
      <c r="F217" s="1">
        <v>94365735</v>
      </c>
      <c r="G217" s="1">
        <v>507500</v>
      </c>
      <c r="H217" s="1">
        <v>9052252</v>
      </c>
      <c r="I217" s="1">
        <v>0</v>
      </c>
      <c r="J217">
        <v>76</v>
      </c>
      <c r="K217">
        <v>86</v>
      </c>
      <c r="L217" t="s">
        <v>14</v>
      </c>
      <c r="M217">
        <f>mlb_payrolls[[#This Row],[Wins]] + mlb_payrolls[[#This Row],[Losses]]</f>
        <v>162</v>
      </c>
      <c r="N217" s="2">
        <f>IF(mlb_payrolls[[#This Row],[Games]] &gt;0, mlb_payrolls[[#This Row],[Wins]]/mlb_payrolls[[#This Row],[Games]], "")</f>
        <v>0.46913580246913578</v>
      </c>
      <c r="O217" s="1">
        <f>IFERROR(VALUE(mlb_payrolls[[#This Row],[Total Payroll Allocations]])/VALUE(mlb_payrolls[[#This Row],[Wins]]),"")</f>
        <v>1538493.25</v>
      </c>
      <c r="P217" s="1">
        <f>SUM(mlb_payrolls[[#This Row],[Active 26-Man]],mlb_payrolls[[#This Row],[Injured]],mlb_payrolls[[#This Row],[Retained]],mlb_payrolls[[#This Row],[Buried]])</f>
        <v>103925487</v>
      </c>
      <c r="Q217" s="1">
        <f>mlb_payrolls[[#This Row],[Total Payroll Allocations]]-mlb_payrolls[[#This Row],[Payroll Parts Sum]]</f>
        <v>13000000</v>
      </c>
      <c r="R217" s="2">
        <f>IF(mlb_payrolls[[#This Row],[Total Payroll Allocations]]&gt;0, mlb_payrolls[[#This Row],[Active 26-Man]]/mlb_payrolls[[#This Row],[Total Payroll Allocations]],"")</f>
        <v>0.80705872963351433</v>
      </c>
      <c r="S217" s="2">
        <f>IF(mlb_payrolls[[#This Row],[Total Payroll Allocations]]&gt;0,mlb_payrolls[[#This Row],[Injured]]/mlb_payrolls[[#This Row],[Total Payroll Allocations]])</f>
        <v>4.3403710604173066E-3</v>
      </c>
      <c r="T217" s="3">
        <f>IF(mlb_payrolls[[#This Row],[Total Payroll Allocations]]&gt;0,mlb_payrolls[[#This Row],[Retained]]/mlb_payrolls[[#This Row],[Total Payroll Allocations]])</f>
        <v>7.7418980517053565E-2</v>
      </c>
      <c r="U217" s="3">
        <f>IF(mlb_payrolls[[#This Row],[Total Payroll Allocations]]&gt;0,mlb_payrolls[[#This Row],[Buried]]/mlb_payrolls[[#This Row],[Total Payroll Allocations]])</f>
        <v>0</v>
      </c>
      <c r="V217">
        <f>IF(mlb_payrolls[[#This Row],[Postseason]]="No Playoffs",0,1)</f>
        <v>0</v>
      </c>
    </row>
    <row r="218" spans="1:22" x14ac:dyDescent="0.3">
      <c r="A218" t="s">
        <v>51</v>
      </c>
      <c r="B218" t="s">
        <v>52</v>
      </c>
      <c r="C218">
        <v>2012</v>
      </c>
      <c r="D218">
        <v>29</v>
      </c>
      <c r="E218" s="1">
        <v>117202717</v>
      </c>
      <c r="F218" s="1">
        <v>112952717</v>
      </c>
      <c r="G218" s="1">
        <v>0</v>
      </c>
      <c r="H218" s="1">
        <v>4250000</v>
      </c>
      <c r="I218" s="1">
        <v>0</v>
      </c>
      <c r="J218">
        <v>86</v>
      </c>
      <c r="K218">
        <v>76</v>
      </c>
      <c r="L218" t="s">
        <v>14</v>
      </c>
      <c r="M218">
        <f>mlb_payrolls[[#This Row],[Wins]] + mlb_payrolls[[#This Row],[Losses]]</f>
        <v>162</v>
      </c>
      <c r="N218" s="2">
        <f>IF(mlb_payrolls[[#This Row],[Games]] &gt;0, mlb_payrolls[[#This Row],[Wins]]/mlb_payrolls[[#This Row],[Games]], "")</f>
        <v>0.53086419753086422</v>
      </c>
      <c r="O218" s="1">
        <f>IFERROR(VALUE(mlb_payrolls[[#This Row],[Total Payroll Allocations]])/VALUE(mlb_payrolls[[#This Row],[Wins]]),"")</f>
        <v>1362822.2906976745</v>
      </c>
      <c r="P218" s="1">
        <f>SUM(mlb_payrolls[[#This Row],[Active 26-Man]],mlb_payrolls[[#This Row],[Injured]],mlb_payrolls[[#This Row],[Retained]],mlb_payrolls[[#This Row],[Buried]])</f>
        <v>117202717</v>
      </c>
      <c r="Q218" s="1">
        <f>mlb_payrolls[[#This Row],[Total Payroll Allocations]]-mlb_payrolls[[#This Row],[Payroll Parts Sum]]</f>
        <v>0</v>
      </c>
      <c r="R218" s="2">
        <f>IF(mlb_payrolls[[#This Row],[Total Payroll Allocations]]&gt;0, mlb_payrolls[[#This Row],[Active 26-Man]]/mlb_payrolls[[#This Row],[Total Payroll Allocations]],"")</f>
        <v>0.96373804201143221</v>
      </c>
      <c r="S218" s="2">
        <f>IF(mlb_payrolls[[#This Row],[Total Payroll Allocations]]&gt;0,mlb_payrolls[[#This Row],[Injured]]/mlb_payrolls[[#This Row],[Total Payroll Allocations]])</f>
        <v>0</v>
      </c>
      <c r="T218" s="3">
        <f>IF(mlb_payrolls[[#This Row],[Total Payroll Allocations]]&gt;0,mlb_payrolls[[#This Row],[Retained]]/mlb_payrolls[[#This Row],[Total Payroll Allocations]])</f>
        <v>3.6261957988567788E-2</v>
      </c>
      <c r="U218" s="3">
        <f>IF(mlb_payrolls[[#This Row],[Total Payroll Allocations]]&gt;0,mlb_payrolls[[#This Row],[Buried]]/mlb_payrolls[[#This Row],[Total Payroll Allocations]])</f>
        <v>0</v>
      </c>
      <c r="V218">
        <f>IF(mlb_payrolls[[#This Row],[Postseason]]="No Playoffs",0,1)</f>
        <v>0</v>
      </c>
    </row>
    <row r="219" spans="1:22" x14ac:dyDescent="0.3">
      <c r="A219" t="s">
        <v>43</v>
      </c>
      <c r="B219" t="s">
        <v>44</v>
      </c>
      <c r="C219">
        <v>2019</v>
      </c>
      <c r="D219">
        <v>27.5</v>
      </c>
      <c r="E219" s="1">
        <v>118672377</v>
      </c>
      <c r="F219" s="1">
        <v>65040742</v>
      </c>
      <c r="G219" s="1">
        <v>11699600</v>
      </c>
      <c r="H219" s="1">
        <v>26307583</v>
      </c>
      <c r="I219" s="1">
        <v>15624452</v>
      </c>
      <c r="J219">
        <v>85</v>
      </c>
      <c r="K219">
        <v>77</v>
      </c>
      <c r="L219" t="s">
        <v>14</v>
      </c>
      <c r="M219">
        <f>mlb_payrolls[[#This Row],[Wins]] + mlb_payrolls[[#This Row],[Losses]]</f>
        <v>162</v>
      </c>
      <c r="N219" s="2">
        <f>IF(mlb_payrolls[[#This Row],[Games]] &gt;0, mlb_payrolls[[#This Row],[Wins]]/mlb_payrolls[[#This Row],[Games]], "")</f>
        <v>0.52469135802469136</v>
      </c>
      <c r="O219" s="1">
        <f>IFERROR(VALUE(mlb_payrolls[[#This Row],[Total Payroll Allocations]])/VALUE(mlb_payrolls[[#This Row],[Wins]]),"")</f>
        <v>1396145.611764706</v>
      </c>
      <c r="P219" s="1">
        <f>SUM(mlb_payrolls[[#This Row],[Active 26-Man]],mlb_payrolls[[#This Row],[Injured]],mlb_payrolls[[#This Row],[Retained]],mlb_payrolls[[#This Row],[Buried]])</f>
        <v>118672377</v>
      </c>
      <c r="Q219" s="1">
        <f>mlb_payrolls[[#This Row],[Total Payroll Allocations]]-mlb_payrolls[[#This Row],[Payroll Parts Sum]]</f>
        <v>0</v>
      </c>
      <c r="R219" s="2">
        <f>IF(mlb_payrolls[[#This Row],[Total Payroll Allocations]]&gt;0, mlb_payrolls[[#This Row],[Active 26-Man]]/mlb_payrolls[[#This Row],[Total Payroll Allocations]],"")</f>
        <v>0.5480697669011888</v>
      </c>
      <c r="S219" s="2">
        <f>IF(mlb_payrolls[[#This Row],[Total Payroll Allocations]]&gt;0,mlb_payrolls[[#This Row],[Injured]]/mlb_payrolls[[#This Row],[Total Payroll Allocations]])</f>
        <v>9.858739072867817E-2</v>
      </c>
      <c r="T219" s="3">
        <f>IF(mlb_payrolls[[#This Row],[Total Payroll Allocations]]&gt;0,mlb_payrolls[[#This Row],[Retained]]/mlb_payrolls[[#This Row],[Total Payroll Allocations]])</f>
        <v>0.22168244763480216</v>
      </c>
      <c r="U219" s="3">
        <f>IF(mlb_payrolls[[#This Row],[Total Payroll Allocations]]&gt;0,mlb_payrolls[[#This Row],[Buried]]/mlb_payrolls[[#This Row],[Total Payroll Allocations]])</f>
        <v>0.13166039473533087</v>
      </c>
      <c r="V219">
        <f>IF(mlb_payrolls[[#This Row],[Postseason]]="No Playoffs",0,1)</f>
        <v>0</v>
      </c>
    </row>
    <row r="220" spans="1:22" x14ac:dyDescent="0.3">
      <c r="A220" t="s">
        <v>45</v>
      </c>
      <c r="B220" t="s">
        <v>46</v>
      </c>
      <c r="C220">
        <v>2011</v>
      </c>
      <c r="D220">
        <v>28.3</v>
      </c>
      <c r="E220" s="1">
        <v>118919465</v>
      </c>
      <c r="F220" s="1">
        <v>115410901</v>
      </c>
      <c r="G220" s="1">
        <v>0</v>
      </c>
      <c r="H220" s="1">
        <v>2808564</v>
      </c>
      <c r="I220" s="1">
        <v>700000</v>
      </c>
      <c r="J220">
        <v>90</v>
      </c>
      <c r="K220">
        <v>72</v>
      </c>
      <c r="L220" t="s">
        <v>21</v>
      </c>
      <c r="M220">
        <f>mlb_payrolls[[#This Row],[Wins]] + mlb_payrolls[[#This Row],[Losses]]</f>
        <v>162</v>
      </c>
      <c r="N220" s="2">
        <f>IF(mlb_payrolls[[#This Row],[Games]] &gt;0, mlb_payrolls[[#This Row],[Wins]]/mlb_payrolls[[#This Row],[Games]], "")</f>
        <v>0.55555555555555558</v>
      </c>
      <c r="O220" s="1">
        <f>IFERROR(VALUE(mlb_payrolls[[#This Row],[Total Payroll Allocations]])/VALUE(mlb_payrolls[[#This Row],[Wins]]),"")</f>
        <v>1321327.388888889</v>
      </c>
      <c r="P220" s="1">
        <f>SUM(mlb_payrolls[[#This Row],[Active 26-Man]],mlb_payrolls[[#This Row],[Injured]],mlb_payrolls[[#This Row],[Retained]],mlb_payrolls[[#This Row],[Buried]])</f>
        <v>118919465</v>
      </c>
      <c r="Q220" s="1">
        <f>mlb_payrolls[[#This Row],[Total Payroll Allocations]]-mlb_payrolls[[#This Row],[Payroll Parts Sum]]</f>
        <v>0</v>
      </c>
      <c r="R220" s="2">
        <f>IF(mlb_payrolls[[#This Row],[Total Payroll Allocations]]&gt;0, mlb_payrolls[[#This Row],[Active 26-Man]]/mlb_payrolls[[#This Row],[Total Payroll Allocations]],"")</f>
        <v>0.97049630184595936</v>
      </c>
      <c r="S220" s="2">
        <f>IF(mlb_payrolls[[#This Row],[Total Payroll Allocations]]&gt;0,mlb_payrolls[[#This Row],[Injured]]/mlb_payrolls[[#This Row],[Total Payroll Allocations]])</f>
        <v>0</v>
      </c>
      <c r="T220" s="3">
        <f>IF(mlb_payrolls[[#This Row],[Total Payroll Allocations]]&gt;0,mlb_payrolls[[#This Row],[Retained]]/mlb_payrolls[[#This Row],[Total Payroll Allocations]])</f>
        <v>2.3617361548002255E-2</v>
      </c>
      <c r="U220" s="3">
        <f>IF(mlb_payrolls[[#This Row],[Total Payroll Allocations]]&gt;0,mlb_payrolls[[#This Row],[Buried]]/mlb_payrolls[[#This Row],[Total Payroll Allocations]])</f>
        <v>5.8863366060383808E-3</v>
      </c>
      <c r="V220">
        <f>IF(mlb_payrolls[[#This Row],[Postseason]]="No Playoffs",0,1)</f>
        <v>1</v>
      </c>
    </row>
    <row r="221" spans="1:22" x14ac:dyDescent="0.3">
      <c r="A221" t="s">
        <v>19</v>
      </c>
      <c r="B221" t="s">
        <v>20</v>
      </c>
      <c r="C221">
        <v>2023</v>
      </c>
      <c r="D221">
        <v>27.5</v>
      </c>
      <c r="E221" s="1">
        <v>119344514</v>
      </c>
      <c r="F221" s="1">
        <v>82493535</v>
      </c>
      <c r="G221" s="1">
        <v>20259107</v>
      </c>
      <c r="H221" s="1">
        <v>15005322</v>
      </c>
      <c r="I221" s="1">
        <v>1586550</v>
      </c>
      <c r="J221">
        <v>78</v>
      </c>
      <c r="K221">
        <v>84</v>
      </c>
      <c r="L221" t="s">
        <v>14</v>
      </c>
      <c r="M221">
        <f>mlb_payrolls[[#This Row],[Wins]] + mlb_payrolls[[#This Row],[Losses]]</f>
        <v>162</v>
      </c>
      <c r="N221" s="2">
        <f>IF(mlb_payrolls[[#This Row],[Games]] &gt;0, mlb_payrolls[[#This Row],[Wins]]/mlb_payrolls[[#This Row],[Games]], "")</f>
        <v>0.48148148148148145</v>
      </c>
      <c r="O221" s="1">
        <f>IFERROR(VALUE(mlb_payrolls[[#This Row],[Total Payroll Allocations]])/VALUE(mlb_payrolls[[#This Row],[Wins]]),"")</f>
        <v>1530057.8717948718</v>
      </c>
      <c r="P221" s="1">
        <f>SUM(mlb_payrolls[[#This Row],[Active 26-Man]],mlb_payrolls[[#This Row],[Injured]],mlb_payrolls[[#This Row],[Retained]],mlb_payrolls[[#This Row],[Buried]])</f>
        <v>119344514</v>
      </c>
      <c r="Q221" s="1">
        <f>mlb_payrolls[[#This Row],[Total Payroll Allocations]]-mlb_payrolls[[#This Row],[Payroll Parts Sum]]</f>
        <v>0</v>
      </c>
      <c r="R221" s="2">
        <f>IF(mlb_payrolls[[#This Row],[Total Payroll Allocations]]&gt;0, mlb_payrolls[[#This Row],[Active 26-Man]]/mlb_payrolls[[#This Row],[Total Payroll Allocations]],"")</f>
        <v>0.69122184367854567</v>
      </c>
      <c r="S221" s="2">
        <f>IF(mlb_payrolls[[#This Row],[Total Payroll Allocations]]&gt;0,mlb_payrolls[[#This Row],[Injured]]/mlb_payrolls[[#This Row],[Total Payroll Allocations]])</f>
        <v>0.16975314843546138</v>
      </c>
      <c r="T221" s="3">
        <f>IF(mlb_payrolls[[#This Row],[Total Payroll Allocations]]&gt;0,mlb_payrolls[[#This Row],[Retained]]/mlb_payrolls[[#This Row],[Total Payroll Allocations]])</f>
        <v>0.12573114169286406</v>
      </c>
      <c r="U221" s="3">
        <f>IF(mlb_payrolls[[#This Row],[Total Payroll Allocations]]&gt;0,mlb_payrolls[[#This Row],[Buried]]/mlb_payrolls[[#This Row],[Total Payroll Allocations]])</f>
        <v>1.329386619312891E-2</v>
      </c>
      <c r="V221">
        <f>IF(mlb_payrolls[[#This Row],[Postseason]]="No Playoffs",0,1)</f>
        <v>0</v>
      </c>
    </row>
    <row r="222" spans="1:22" x14ac:dyDescent="0.3">
      <c r="A222" t="s">
        <v>45</v>
      </c>
      <c r="B222" t="s">
        <v>46</v>
      </c>
      <c r="C222">
        <v>2012</v>
      </c>
      <c r="D222">
        <v>28</v>
      </c>
      <c r="E222" s="1">
        <v>119957765</v>
      </c>
      <c r="F222" s="1">
        <v>118482081</v>
      </c>
      <c r="G222" s="1">
        <v>0</v>
      </c>
      <c r="H222" s="1">
        <v>1475684</v>
      </c>
      <c r="I222" s="1">
        <v>0</v>
      </c>
      <c r="J222">
        <v>88</v>
      </c>
      <c r="K222">
        <v>74</v>
      </c>
      <c r="L222" t="s">
        <v>21</v>
      </c>
      <c r="M222">
        <f>mlb_payrolls[[#This Row],[Wins]] + mlb_payrolls[[#This Row],[Losses]]</f>
        <v>162</v>
      </c>
      <c r="N222" s="2">
        <f>IF(mlb_payrolls[[#This Row],[Games]] &gt;0, mlb_payrolls[[#This Row],[Wins]]/mlb_payrolls[[#This Row],[Games]], "")</f>
        <v>0.54320987654320985</v>
      </c>
      <c r="O222" s="1">
        <f>IFERROR(VALUE(mlb_payrolls[[#This Row],[Total Payroll Allocations]])/VALUE(mlb_payrolls[[#This Row],[Wins]]),"")</f>
        <v>1363156.4204545454</v>
      </c>
      <c r="P222" s="1">
        <f>SUM(mlb_payrolls[[#This Row],[Active 26-Man]],mlb_payrolls[[#This Row],[Injured]],mlb_payrolls[[#This Row],[Retained]],mlb_payrolls[[#This Row],[Buried]])</f>
        <v>119957765</v>
      </c>
      <c r="Q222" s="1">
        <f>mlb_payrolls[[#This Row],[Total Payroll Allocations]]-mlb_payrolls[[#This Row],[Payroll Parts Sum]]</f>
        <v>0</v>
      </c>
      <c r="R222" s="2">
        <f>IF(mlb_payrolls[[#This Row],[Total Payroll Allocations]]&gt;0, mlb_payrolls[[#This Row],[Active 26-Man]]/mlb_payrolls[[#This Row],[Total Payroll Allocations]],"")</f>
        <v>0.98769830364878841</v>
      </c>
      <c r="S222" s="2">
        <f>IF(mlb_payrolls[[#This Row],[Total Payroll Allocations]]&gt;0,mlb_payrolls[[#This Row],[Injured]]/mlb_payrolls[[#This Row],[Total Payroll Allocations]])</f>
        <v>0</v>
      </c>
      <c r="T222" s="3">
        <f>IF(mlb_payrolls[[#This Row],[Total Payroll Allocations]]&gt;0,mlb_payrolls[[#This Row],[Retained]]/mlb_payrolls[[#This Row],[Total Payroll Allocations]])</f>
        <v>1.2301696351211611E-2</v>
      </c>
      <c r="U222" s="3">
        <f>IF(mlb_payrolls[[#This Row],[Total Payroll Allocations]]&gt;0,mlb_payrolls[[#This Row],[Buried]]/mlb_payrolls[[#This Row],[Total Payroll Allocations]])</f>
        <v>0</v>
      </c>
      <c r="V222">
        <f>IF(mlb_payrolls[[#This Row],[Postseason]]="No Playoffs",0,1)</f>
        <v>1</v>
      </c>
    </row>
    <row r="223" spans="1:22" x14ac:dyDescent="0.3">
      <c r="A223" t="s">
        <v>45</v>
      </c>
      <c r="B223" t="s">
        <v>46</v>
      </c>
      <c r="C223">
        <v>2013</v>
      </c>
      <c r="D223">
        <v>27.8</v>
      </c>
      <c r="E223" s="1">
        <v>120192638</v>
      </c>
      <c r="F223" s="1">
        <v>114729933</v>
      </c>
      <c r="G223" s="1">
        <v>0</v>
      </c>
      <c r="H223" s="1">
        <v>5406476</v>
      </c>
      <c r="I223" s="1">
        <v>56229</v>
      </c>
      <c r="J223">
        <v>97</v>
      </c>
      <c r="K223">
        <v>65</v>
      </c>
      <c r="L223" t="s">
        <v>24</v>
      </c>
      <c r="M223">
        <f>mlb_payrolls[[#This Row],[Wins]] + mlb_payrolls[[#This Row],[Losses]]</f>
        <v>162</v>
      </c>
      <c r="N223" s="2">
        <f>IF(mlb_payrolls[[#This Row],[Games]] &gt;0, mlb_payrolls[[#This Row],[Wins]]/mlb_payrolls[[#This Row],[Games]], "")</f>
        <v>0.59876543209876543</v>
      </c>
      <c r="O223" s="1">
        <f>IFERROR(VALUE(mlb_payrolls[[#This Row],[Total Payroll Allocations]])/VALUE(mlb_payrolls[[#This Row],[Wins]]),"")</f>
        <v>1239099.3608247424</v>
      </c>
      <c r="P223" s="1">
        <f>SUM(mlb_payrolls[[#This Row],[Active 26-Man]],mlb_payrolls[[#This Row],[Injured]],mlb_payrolls[[#This Row],[Retained]],mlb_payrolls[[#This Row],[Buried]])</f>
        <v>120192638</v>
      </c>
      <c r="Q223" s="1">
        <f>mlb_payrolls[[#This Row],[Total Payroll Allocations]]-mlb_payrolls[[#This Row],[Payroll Parts Sum]]</f>
        <v>0</v>
      </c>
      <c r="R223" s="2">
        <f>IF(mlb_payrolls[[#This Row],[Total Payroll Allocations]]&gt;0, mlb_payrolls[[#This Row],[Active 26-Man]]/mlb_payrolls[[#This Row],[Total Payroll Allocations]],"")</f>
        <v>0.95455041930271967</v>
      </c>
      <c r="S223" s="2">
        <f>IF(mlb_payrolls[[#This Row],[Total Payroll Allocations]]&gt;0,mlb_payrolls[[#This Row],[Injured]]/mlb_payrolls[[#This Row],[Total Payroll Allocations]])</f>
        <v>0</v>
      </c>
      <c r="T223" s="3">
        <f>IF(mlb_payrolls[[#This Row],[Total Payroll Allocations]]&gt;0,mlb_payrolls[[#This Row],[Retained]]/mlb_payrolls[[#This Row],[Total Payroll Allocations]])</f>
        <v>4.4981756702935499E-2</v>
      </c>
      <c r="U223" s="3">
        <f>IF(mlb_payrolls[[#This Row],[Total Payroll Allocations]]&gt;0,mlb_payrolls[[#This Row],[Buried]]/mlb_payrolls[[#This Row],[Total Payroll Allocations]])</f>
        <v>4.678239943448117E-4</v>
      </c>
      <c r="V223">
        <f>IF(mlb_payrolls[[#This Row],[Postseason]]="No Playoffs",0,1)</f>
        <v>1</v>
      </c>
    </row>
    <row r="224" spans="1:22" x14ac:dyDescent="0.3">
      <c r="A224" t="s">
        <v>63</v>
      </c>
      <c r="B224" t="s">
        <v>64</v>
      </c>
      <c r="C224">
        <v>2018</v>
      </c>
      <c r="D224">
        <v>27.3</v>
      </c>
      <c r="E224" s="1">
        <v>120525018</v>
      </c>
      <c r="F224" s="1">
        <v>76139016</v>
      </c>
      <c r="G224" s="1">
        <v>6683451</v>
      </c>
      <c r="H224" s="1">
        <v>36936251</v>
      </c>
      <c r="I224" s="1">
        <v>766300</v>
      </c>
      <c r="J224">
        <v>67</v>
      </c>
      <c r="K224">
        <v>95</v>
      </c>
      <c r="L224" t="s">
        <v>14</v>
      </c>
      <c r="M224">
        <f>mlb_payrolls[[#This Row],[Wins]] + mlb_payrolls[[#This Row],[Losses]]</f>
        <v>162</v>
      </c>
      <c r="N224" s="2">
        <f>IF(mlb_payrolls[[#This Row],[Games]] &gt;0, mlb_payrolls[[#This Row],[Wins]]/mlb_payrolls[[#This Row],[Games]], "")</f>
        <v>0.41358024691358025</v>
      </c>
      <c r="O224" s="1">
        <f>IFERROR(VALUE(mlb_payrolls[[#This Row],[Total Payroll Allocations]])/VALUE(mlb_payrolls[[#This Row],[Wins]]),"")</f>
        <v>1798880.8656716419</v>
      </c>
      <c r="P224" s="1">
        <f>SUM(mlb_payrolls[[#This Row],[Active 26-Man]],mlb_payrolls[[#This Row],[Injured]],mlb_payrolls[[#This Row],[Retained]],mlb_payrolls[[#This Row],[Buried]])</f>
        <v>120525018</v>
      </c>
      <c r="Q224" s="1">
        <f>mlb_payrolls[[#This Row],[Total Payroll Allocations]]-mlb_payrolls[[#This Row],[Payroll Parts Sum]]</f>
        <v>0</v>
      </c>
      <c r="R224" s="2">
        <f>IF(mlb_payrolls[[#This Row],[Total Payroll Allocations]]&gt;0, mlb_payrolls[[#This Row],[Active 26-Man]]/mlb_payrolls[[#This Row],[Total Payroll Allocations]],"")</f>
        <v>0.63172789569714061</v>
      </c>
      <c r="S224" s="2">
        <f>IF(mlb_payrolls[[#This Row],[Total Payroll Allocations]]&gt;0,mlb_payrolls[[#This Row],[Injured]]/mlb_payrolls[[#This Row],[Total Payroll Allocations]])</f>
        <v>5.5452810635547883E-2</v>
      </c>
      <c r="T224" s="3">
        <f>IF(mlb_payrolls[[#This Row],[Total Payroll Allocations]]&gt;0,mlb_payrolls[[#This Row],[Retained]]/mlb_payrolls[[#This Row],[Total Payroll Allocations]])</f>
        <v>0.30646127760794029</v>
      </c>
      <c r="U224" s="3">
        <f>IF(mlb_payrolls[[#This Row],[Total Payroll Allocations]]&gt;0,mlb_payrolls[[#This Row],[Buried]]/mlb_payrolls[[#This Row],[Total Payroll Allocations]])</f>
        <v>6.3580160593711757E-3</v>
      </c>
      <c r="V224">
        <f>IF(mlb_payrolls[[#This Row],[Postseason]]="No Playoffs",0,1)</f>
        <v>0</v>
      </c>
    </row>
    <row r="225" spans="1:22" x14ac:dyDescent="0.3">
      <c r="A225" t="s">
        <v>37</v>
      </c>
      <c r="B225" t="s">
        <v>38</v>
      </c>
      <c r="C225">
        <v>2017</v>
      </c>
      <c r="D225">
        <v>27.8</v>
      </c>
      <c r="E225" s="1">
        <v>120842831</v>
      </c>
      <c r="F225" s="1">
        <v>75616449</v>
      </c>
      <c r="G225" s="1">
        <v>22830000</v>
      </c>
      <c r="H225" s="1">
        <v>19497309</v>
      </c>
      <c r="I225" s="1">
        <v>2899073</v>
      </c>
      <c r="J225">
        <v>85</v>
      </c>
      <c r="K225">
        <v>77</v>
      </c>
      <c r="L225" t="s">
        <v>21</v>
      </c>
      <c r="M225">
        <f>mlb_payrolls[[#This Row],[Wins]] + mlb_payrolls[[#This Row],[Losses]]</f>
        <v>162</v>
      </c>
      <c r="N225" s="2">
        <f>IF(mlb_payrolls[[#This Row],[Games]] &gt;0, mlb_payrolls[[#This Row],[Wins]]/mlb_payrolls[[#This Row],[Games]], "")</f>
        <v>0.52469135802469136</v>
      </c>
      <c r="O225" s="1">
        <f>IFERROR(VALUE(mlb_payrolls[[#This Row],[Total Payroll Allocations]])/VALUE(mlb_payrolls[[#This Row],[Wins]]),"")</f>
        <v>1421680.3647058823</v>
      </c>
      <c r="P225" s="1">
        <f>SUM(mlb_payrolls[[#This Row],[Active 26-Man]],mlb_payrolls[[#This Row],[Injured]],mlb_payrolls[[#This Row],[Retained]],mlb_payrolls[[#This Row],[Buried]])</f>
        <v>120842831</v>
      </c>
      <c r="Q225" s="1">
        <f>mlb_payrolls[[#This Row],[Total Payroll Allocations]]-mlb_payrolls[[#This Row],[Payroll Parts Sum]]</f>
        <v>0</v>
      </c>
      <c r="R225" s="2">
        <f>IF(mlb_payrolls[[#This Row],[Total Payroll Allocations]]&gt;0, mlb_payrolls[[#This Row],[Active 26-Man]]/mlb_payrolls[[#This Row],[Total Payroll Allocations]],"")</f>
        <v>0.6257421178754079</v>
      </c>
      <c r="S225" s="2">
        <f>IF(mlb_payrolls[[#This Row],[Total Payroll Allocations]]&gt;0,mlb_payrolls[[#This Row],[Injured]]/mlb_payrolls[[#This Row],[Total Payroll Allocations]])</f>
        <v>0.1889230814196996</v>
      </c>
      <c r="T225" s="3">
        <f>IF(mlb_payrolls[[#This Row],[Total Payroll Allocations]]&gt;0,mlb_payrolls[[#This Row],[Retained]]/mlb_payrolls[[#This Row],[Total Payroll Allocations]])</f>
        <v>0.16134435811090855</v>
      </c>
      <c r="U225" s="3">
        <f>IF(mlb_payrolls[[#This Row],[Total Payroll Allocations]]&gt;0,mlb_payrolls[[#This Row],[Buried]]/mlb_payrolls[[#This Row],[Total Payroll Allocations]])</f>
        <v>2.3990442593983915E-2</v>
      </c>
      <c r="V225">
        <f>IF(mlb_payrolls[[#This Row],[Postseason]]="No Playoffs",0,1)</f>
        <v>1</v>
      </c>
    </row>
    <row r="226" spans="1:22" x14ac:dyDescent="0.3">
      <c r="A226" t="s">
        <v>45</v>
      </c>
      <c r="B226" t="s">
        <v>46</v>
      </c>
      <c r="C226">
        <v>2014</v>
      </c>
      <c r="D226">
        <v>27.5</v>
      </c>
      <c r="E226" s="1">
        <v>121340470</v>
      </c>
      <c r="F226" s="1">
        <v>114640584</v>
      </c>
      <c r="G226" s="1">
        <v>0</v>
      </c>
      <c r="H226" s="1">
        <v>5699886</v>
      </c>
      <c r="I226" s="1">
        <v>1000000</v>
      </c>
      <c r="J226">
        <v>90</v>
      </c>
      <c r="K226">
        <v>72</v>
      </c>
      <c r="L226" t="s">
        <v>24</v>
      </c>
      <c r="M226">
        <f>mlb_payrolls[[#This Row],[Wins]] + mlb_payrolls[[#This Row],[Losses]]</f>
        <v>162</v>
      </c>
      <c r="N226" s="2">
        <f>IF(mlb_payrolls[[#This Row],[Games]] &gt;0, mlb_payrolls[[#This Row],[Wins]]/mlb_payrolls[[#This Row],[Games]], "")</f>
        <v>0.55555555555555558</v>
      </c>
      <c r="O226" s="1">
        <f>IFERROR(VALUE(mlb_payrolls[[#This Row],[Total Payroll Allocations]])/VALUE(mlb_payrolls[[#This Row],[Wins]]),"")</f>
        <v>1348227.4444444445</v>
      </c>
      <c r="P226" s="1">
        <f>SUM(mlb_payrolls[[#This Row],[Active 26-Man]],mlb_payrolls[[#This Row],[Injured]],mlb_payrolls[[#This Row],[Retained]],mlb_payrolls[[#This Row],[Buried]])</f>
        <v>121340470</v>
      </c>
      <c r="Q226" s="1">
        <f>mlb_payrolls[[#This Row],[Total Payroll Allocations]]-mlb_payrolls[[#This Row],[Payroll Parts Sum]]</f>
        <v>0</v>
      </c>
      <c r="R226" s="2">
        <f>IF(mlb_payrolls[[#This Row],[Total Payroll Allocations]]&gt;0, mlb_payrolls[[#This Row],[Active 26-Man]]/mlb_payrolls[[#This Row],[Total Payroll Allocations]],"")</f>
        <v>0.944784407049025</v>
      </c>
      <c r="S226" s="2">
        <f>IF(mlb_payrolls[[#This Row],[Total Payroll Allocations]]&gt;0,mlb_payrolls[[#This Row],[Injured]]/mlb_payrolls[[#This Row],[Total Payroll Allocations]])</f>
        <v>0</v>
      </c>
      <c r="T226" s="3">
        <f>IF(mlb_payrolls[[#This Row],[Total Payroll Allocations]]&gt;0,mlb_payrolls[[#This Row],[Retained]]/mlb_payrolls[[#This Row],[Total Payroll Allocations]])</f>
        <v>4.697431945005652E-2</v>
      </c>
      <c r="U226" s="3">
        <f>IF(mlb_payrolls[[#This Row],[Total Payroll Allocations]]&gt;0,mlb_payrolls[[#This Row],[Buried]]/mlb_payrolls[[#This Row],[Total Payroll Allocations]])</f>
        <v>8.241273500918531E-3</v>
      </c>
      <c r="V226">
        <f>IF(mlb_payrolls[[#This Row],[Postseason]]="No Playoffs",0,1)</f>
        <v>1</v>
      </c>
    </row>
    <row r="227" spans="1:22" x14ac:dyDescent="0.3">
      <c r="A227" t="s">
        <v>37</v>
      </c>
      <c r="B227" t="s">
        <v>38</v>
      </c>
      <c r="C227">
        <v>2021</v>
      </c>
      <c r="D227">
        <v>28.5</v>
      </c>
      <c r="E227" s="1">
        <v>121417939</v>
      </c>
      <c r="F227" s="1">
        <v>84942828</v>
      </c>
      <c r="G227" s="1">
        <v>13198044</v>
      </c>
      <c r="H227" s="1">
        <v>19934219</v>
      </c>
      <c r="I227" s="1">
        <v>3342848</v>
      </c>
      <c r="J227">
        <v>73</v>
      </c>
      <c r="K227">
        <v>89</v>
      </c>
      <c r="L227" t="s">
        <v>14</v>
      </c>
      <c r="M227">
        <f>mlb_payrolls[[#This Row],[Wins]] + mlb_payrolls[[#This Row],[Losses]]</f>
        <v>162</v>
      </c>
      <c r="N227" s="2">
        <f>IF(mlb_payrolls[[#This Row],[Games]] &gt;0, mlb_payrolls[[#This Row],[Wins]]/mlb_payrolls[[#This Row],[Games]], "")</f>
        <v>0.45061728395061729</v>
      </c>
      <c r="O227" s="1">
        <f>IFERROR(VALUE(mlb_payrolls[[#This Row],[Total Payroll Allocations]])/VALUE(mlb_payrolls[[#This Row],[Wins]]),"")</f>
        <v>1663259.4383561644</v>
      </c>
      <c r="P227" s="1">
        <f>SUM(mlb_payrolls[[#This Row],[Active 26-Man]],mlb_payrolls[[#This Row],[Injured]],mlb_payrolls[[#This Row],[Retained]],mlb_payrolls[[#This Row],[Buried]])</f>
        <v>121417939</v>
      </c>
      <c r="Q227" s="1">
        <f>mlb_payrolls[[#This Row],[Total Payroll Allocations]]-mlb_payrolls[[#This Row],[Payroll Parts Sum]]</f>
        <v>0</v>
      </c>
      <c r="R227" s="2">
        <f>IF(mlb_payrolls[[#This Row],[Total Payroll Allocations]]&gt;0, mlb_payrolls[[#This Row],[Active 26-Man]]/mlb_payrolls[[#This Row],[Total Payroll Allocations]],"")</f>
        <v>0.69959042872569266</v>
      </c>
      <c r="S227" s="2">
        <f>IF(mlb_payrolls[[#This Row],[Total Payroll Allocations]]&gt;0,mlb_payrolls[[#This Row],[Injured]]/mlb_payrolls[[#This Row],[Total Payroll Allocations]])</f>
        <v>0.1086992919555322</v>
      </c>
      <c r="T227" s="3">
        <f>IF(mlb_payrolls[[#This Row],[Total Payroll Allocations]]&gt;0,mlb_payrolls[[#This Row],[Retained]]/mlb_payrolls[[#This Row],[Total Payroll Allocations]])</f>
        <v>0.16417853213601327</v>
      </c>
      <c r="U227" s="3">
        <f>IF(mlb_payrolls[[#This Row],[Total Payroll Allocations]]&gt;0,mlb_payrolls[[#This Row],[Buried]]/mlb_payrolls[[#This Row],[Total Payroll Allocations]])</f>
        <v>2.753174718276185E-2</v>
      </c>
      <c r="V227">
        <f>IF(mlb_payrolls[[#This Row],[Postseason]]="No Playoffs",0,1)</f>
        <v>0</v>
      </c>
    </row>
    <row r="228" spans="1:22" x14ac:dyDescent="0.3">
      <c r="A228" t="s">
        <v>31</v>
      </c>
      <c r="B228" t="s">
        <v>32</v>
      </c>
      <c r="C228">
        <v>2024</v>
      </c>
      <c r="D228">
        <v>29.4</v>
      </c>
      <c r="E228" s="1">
        <v>122566873</v>
      </c>
      <c r="F228" s="1">
        <v>84606907</v>
      </c>
      <c r="G228" s="1">
        <v>14486000</v>
      </c>
      <c r="H228" s="1">
        <v>21087524</v>
      </c>
      <c r="I228" s="1">
        <v>2386442</v>
      </c>
      <c r="J228">
        <v>86</v>
      </c>
      <c r="K228">
        <v>76</v>
      </c>
      <c r="L228" t="s">
        <v>21</v>
      </c>
      <c r="M228">
        <f>mlb_payrolls[[#This Row],[Wins]] + mlb_payrolls[[#This Row],[Losses]]</f>
        <v>162</v>
      </c>
      <c r="N228" s="2">
        <f>IF(mlb_payrolls[[#This Row],[Games]] &gt;0, mlb_payrolls[[#This Row],[Wins]]/mlb_payrolls[[#This Row],[Games]], "")</f>
        <v>0.53086419753086422</v>
      </c>
      <c r="O228" s="1">
        <f>IFERROR(VALUE(mlb_payrolls[[#This Row],[Total Payroll Allocations]])/VALUE(mlb_payrolls[[#This Row],[Wins]]),"")</f>
        <v>1425196.1976744186</v>
      </c>
      <c r="P228" s="1">
        <f>SUM(mlb_payrolls[[#This Row],[Active 26-Man]],mlb_payrolls[[#This Row],[Injured]],mlb_payrolls[[#This Row],[Retained]],mlb_payrolls[[#This Row],[Buried]])</f>
        <v>122566873</v>
      </c>
      <c r="Q228" s="1">
        <f>mlb_payrolls[[#This Row],[Total Payroll Allocations]]-mlb_payrolls[[#This Row],[Payroll Parts Sum]]</f>
        <v>0</v>
      </c>
      <c r="R228" s="2">
        <f>IF(mlb_payrolls[[#This Row],[Total Payroll Allocations]]&gt;0, mlb_payrolls[[#This Row],[Active 26-Man]]/mlb_payrolls[[#This Row],[Total Payroll Allocations]],"")</f>
        <v>0.69029179687075803</v>
      </c>
      <c r="S228" s="2">
        <f>IF(mlb_payrolls[[#This Row],[Total Payroll Allocations]]&gt;0,mlb_payrolls[[#This Row],[Injured]]/mlb_payrolls[[#This Row],[Total Payroll Allocations]])</f>
        <v>0.11818854185828825</v>
      </c>
      <c r="T228" s="3">
        <f>IF(mlb_payrolls[[#This Row],[Total Payroll Allocations]]&gt;0,mlb_payrolls[[#This Row],[Retained]]/mlb_payrolls[[#This Row],[Total Payroll Allocations]])</f>
        <v>0.17204913108944209</v>
      </c>
      <c r="U228" s="3">
        <f>IF(mlb_payrolls[[#This Row],[Total Payroll Allocations]]&gt;0,mlb_payrolls[[#This Row],[Buried]]/mlb_payrolls[[#This Row],[Total Payroll Allocations]])</f>
        <v>1.9470530181511608E-2</v>
      </c>
      <c r="V228">
        <f>IF(mlb_payrolls[[#This Row],[Postseason]]="No Playoffs",0,1)</f>
        <v>1</v>
      </c>
    </row>
    <row r="229" spans="1:22" x14ac:dyDescent="0.3">
      <c r="A229" t="s">
        <v>51</v>
      </c>
      <c r="B229" t="s">
        <v>52</v>
      </c>
      <c r="C229">
        <v>2020</v>
      </c>
      <c r="D229">
        <v>28</v>
      </c>
      <c r="E229" s="1">
        <v>124719080</v>
      </c>
      <c r="F229" s="1">
        <v>94165961</v>
      </c>
      <c r="G229" s="1">
        <v>493889</v>
      </c>
      <c r="H229" s="1">
        <v>16917530</v>
      </c>
      <c r="I229" s="1">
        <v>7007070</v>
      </c>
      <c r="J229">
        <v>43</v>
      </c>
      <c r="K229">
        <v>17</v>
      </c>
      <c r="L229" t="s">
        <v>24</v>
      </c>
      <c r="M229">
        <f>mlb_payrolls[[#This Row],[Wins]] + mlb_payrolls[[#This Row],[Losses]]</f>
        <v>60</v>
      </c>
      <c r="N229" s="2">
        <f>IF(mlb_payrolls[[#This Row],[Games]] &gt;0, mlb_payrolls[[#This Row],[Wins]]/mlb_payrolls[[#This Row],[Games]], "")</f>
        <v>0.71666666666666667</v>
      </c>
      <c r="O229" s="1">
        <f>IFERROR(VALUE(mlb_payrolls[[#This Row],[Total Payroll Allocations]])/VALUE(mlb_payrolls[[#This Row],[Wins]]),"")</f>
        <v>2900443.7209302327</v>
      </c>
      <c r="P229" s="1">
        <f>SUM(mlb_payrolls[[#This Row],[Active 26-Man]],mlb_payrolls[[#This Row],[Injured]],mlb_payrolls[[#This Row],[Retained]],mlb_payrolls[[#This Row],[Buried]])</f>
        <v>118584450</v>
      </c>
      <c r="Q229" s="1">
        <f>mlb_payrolls[[#This Row],[Total Payroll Allocations]]-mlb_payrolls[[#This Row],[Payroll Parts Sum]]</f>
        <v>6134630</v>
      </c>
      <c r="R229" s="2">
        <f>IF(mlb_payrolls[[#This Row],[Total Payroll Allocations]]&gt;0, mlb_payrolls[[#This Row],[Active 26-Man]]/mlb_payrolls[[#This Row],[Total Payroll Allocations]],"")</f>
        <v>0.75502449986000542</v>
      </c>
      <c r="S229" s="2">
        <f>IF(mlb_payrolls[[#This Row],[Total Payroll Allocations]]&gt;0,mlb_payrolls[[#This Row],[Injured]]/mlb_payrolls[[#This Row],[Total Payroll Allocations]])</f>
        <v>3.9600115716055635E-3</v>
      </c>
      <c r="T229" s="3">
        <f>IF(mlb_payrolls[[#This Row],[Total Payroll Allocations]]&gt;0,mlb_payrolls[[#This Row],[Retained]]/mlb_payrolls[[#This Row],[Total Payroll Allocations]])</f>
        <v>0.13564508333448258</v>
      </c>
      <c r="U229" s="3">
        <f>IF(mlb_payrolls[[#This Row],[Total Payroll Allocations]]&gt;0,mlb_payrolls[[#This Row],[Buried]]/mlb_payrolls[[#This Row],[Total Payroll Allocations]])</f>
        <v>5.6182823029162818E-2</v>
      </c>
      <c r="V229">
        <f>IF(mlb_payrolls[[#This Row],[Postseason]]="No Playoffs",0,1)</f>
        <v>1</v>
      </c>
    </row>
    <row r="230" spans="1:22" x14ac:dyDescent="0.3">
      <c r="A230" t="s">
        <v>39</v>
      </c>
      <c r="B230" t="s">
        <v>40</v>
      </c>
      <c r="C230">
        <v>2023</v>
      </c>
      <c r="D230">
        <v>27.1</v>
      </c>
      <c r="E230" s="1">
        <v>124766903</v>
      </c>
      <c r="F230" s="1">
        <v>71896948</v>
      </c>
      <c r="G230" s="1">
        <v>27157168</v>
      </c>
      <c r="H230" s="1">
        <v>24571247</v>
      </c>
      <c r="I230" s="1">
        <v>1141540</v>
      </c>
      <c r="J230">
        <v>88</v>
      </c>
      <c r="K230">
        <v>74</v>
      </c>
      <c r="L230" t="s">
        <v>14</v>
      </c>
      <c r="M230">
        <f>mlb_payrolls[[#This Row],[Wins]] + mlb_payrolls[[#This Row],[Losses]]</f>
        <v>162</v>
      </c>
      <c r="N230" s="2">
        <f>IF(mlb_payrolls[[#This Row],[Games]] &gt;0, mlb_payrolls[[#This Row],[Wins]]/mlb_payrolls[[#This Row],[Games]], "")</f>
        <v>0.54320987654320985</v>
      </c>
      <c r="O230" s="1">
        <f>IFERROR(VALUE(mlb_payrolls[[#This Row],[Total Payroll Allocations]])/VALUE(mlb_payrolls[[#This Row],[Wins]]),"")</f>
        <v>1417805.7159090908</v>
      </c>
      <c r="P230" s="1">
        <f>SUM(mlb_payrolls[[#This Row],[Active 26-Man]],mlb_payrolls[[#This Row],[Injured]],mlb_payrolls[[#This Row],[Retained]],mlb_payrolls[[#This Row],[Buried]])</f>
        <v>124766903</v>
      </c>
      <c r="Q230" s="1">
        <f>mlb_payrolls[[#This Row],[Total Payroll Allocations]]-mlb_payrolls[[#This Row],[Payroll Parts Sum]]</f>
        <v>0</v>
      </c>
      <c r="R230" s="2">
        <f>IF(mlb_payrolls[[#This Row],[Total Payroll Allocations]]&gt;0, mlb_payrolls[[#This Row],[Active 26-Man]]/mlb_payrolls[[#This Row],[Total Payroll Allocations]],"")</f>
        <v>0.57625016147110741</v>
      </c>
      <c r="S230" s="2">
        <f>IF(mlb_payrolls[[#This Row],[Total Payroll Allocations]]&gt;0,mlb_payrolls[[#This Row],[Injured]]/mlb_payrolls[[#This Row],[Total Payroll Allocations]])</f>
        <v>0.21766323718077701</v>
      </c>
      <c r="T230" s="3">
        <f>IF(mlb_payrolls[[#This Row],[Total Payroll Allocations]]&gt;0,mlb_payrolls[[#This Row],[Retained]]/mlb_payrolls[[#This Row],[Total Payroll Allocations]])</f>
        <v>0.1969372198009916</v>
      </c>
      <c r="U230" s="3">
        <f>IF(mlb_payrolls[[#This Row],[Total Payroll Allocations]]&gt;0,mlb_payrolls[[#This Row],[Buried]]/mlb_payrolls[[#This Row],[Total Payroll Allocations]])</f>
        <v>9.1493815471239189E-3</v>
      </c>
      <c r="V230">
        <f>IF(mlb_payrolls[[#This Row],[Postseason]]="No Playoffs",0,1)</f>
        <v>0</v>
      </c>
    </row>
    <row r="231" spans="1:22" x14ac:dyDescent="0.3">
      <c r="A231" t="s">
        <v>63</v>
      </c>
      <c r="B231" t="s">
        <v>64</v>
      </c>
      <c r="C231">
        <v>2014</v>
      </c>
      <c r="D231">
        <v>26.8</v>
      </c>
      <c r="E231" s="1">
        <v>124805583</v>
      </c>
      <c r="F231" s="1">
        <v>116811403</v>
      </c>
      <c r="G231" s="1">
        <v>0</v>
      </c>
      <c r="H231" s="1">
        <v>7994180</v>
      </c>
      <c r="I231" s="1">
        <v>0</v>
      </c>
      <c r="J231">
        <v>67</v>
      </c>
      <c r="K231">
        <v>95</v>
      </c>
      <c r="L231" t="s">
        <v>14</v>
      </c>
      <c r="M231">
        <f>mlb_payrolls[[#This Row],[Wins]] + mlb_payrolls[[#This Row],[Losses]]</f>
        <v>162</v>
      </c>
      <c r="N231" s="2">
        <f>IF(mlb_payrolls[[#This Row],[Games]] &gt;0, mlb_payrolls[[#This Row],[Wins]]/mlb_payrolls[[#This Row],[Games]], "")</f>
        <v>0.41358024691358025</v>
      </c>
      <c r="O231" s="1">
        <f>IFERROR(VALUE(mlb_payrolls[[#This Row],[Total Payroll Allocations]])/VALUE(mlb_payrolls[[#This Row],[Wins]]),"")</f>
        <v>1862769.8955223882</v>
      </c>
      <c r="P231" s="1">
        <f>SUM(mlb_payrolls[[#This Row],[Active 26-Man]],mlb_payrolls[[#This Row],[Injured]],mlb_payrolls[[#This Row],[Retained]],mlb_payrolls[[#This Row],[Buried]])</f>
        <v>124805583</v>
      </c>
      <c r="Q231" s="1">
        <f>mlb_payrolls[[#This Row],[Total Payroll Allocations]]-mlb_payrolls[[#This Row],[Payroll Parts Sum]]</f>
        <v>0</v>
      </c>
      <c r="R231" s="2">
        <f>IF(mlb_payrolls[[#This Row],[Total Payroll Allocations]]&gt;0, mlb_payrolls[[#This Row],[Active 26-Man]]/mlb_payrolls[[#This Row],[Total Payroll Allocations]],"")</f>
        <v>0.93594693596359391</v>
      </c>
      <c r="S231" s="2">
        <f>IF(mlb_payrolls[[#This Row],[Total Payroll Allocations]]&gt;0,mlb_payrolls[[#This Row],[Injured]]/mlb_payrolls[[#This Row],[Total Payroll Allocations]])</f>
        <v>0</v>
      </c>
      <c r="T231" s="3">
        <f>IF(mlb_payrolls[[#This Row],[Total Payroll Allocations]]&gt;0,mlb_payrolls[[#This Row],[Retained]]/mlb_payrolls[[#This Row],[Total Payroll Allocations]])</f>
        <v>6.4053064036406121E-2</v>
      </c>
      <c r="U231" s="3">
        <f>IF(mlb_payrolls[[#This Row],[Total Payroll Allocations]]&gt;0,mlb_payrolls[[#This Row],[Buried]]/mlb_payrolls[[#This Row],[Total Payroll Allocations]])</f>
        <v>0</v>
      </c>
      <c r="V231">
        <f>IF(mlb_payrolls[[#This Row],[Postseason]]="No Playoffs",0,1)</f>
        <v>0</v>
      </c>
    </row>
    <row r="232" spans="1:22" x14ac:dyDescent="0.3">
      <c r="A232" t="s">
        <v>53</v>
      </c>
      <c r="B232" t="s">
        <v>54</v>
      </c>
      <c r="C232">
        <v>2011</v>
      </c>
      <c r="D232">
        <v>29</v>
      </c>
      <c r="E232" s="1">
        <v>125242452</v>
      </c>
      <c r="F232" s="1">
        <v>124142452</v>
      </c>
      <c r="G232" s="1">
        <v>0</v>
      </c>
      <c r="H232" s="1">
        <v>1100000</v>
      </c>
      <c r="I232" s="1">
        <v>0</v>
      </c>
      <c r="J232">
        <v>86</v>
      </c>
      <c r="K232">
        <v>76</v>
      </c>
      <c r="L232" t="s">
        <v>14</v>
      </c>
      <c r="M232">
        <f>mlb_payrolls[[#This Row],[Wins]] + mlb_payrolls[[#This Row],[Losses]]</f>
        <v>162</v>
      </c>
      <c r="N232" s="2">
        <f>IF(mlb_payrolls[[#This Row],[Games]] &gt;0, mlb_payrolls[[#This Row],[Wins]]/mlb_payrolls[[#This Row],[Games]], "")</f>
        <v>0.53086419753086422</v>
      </c>
      <c r="O232" s="1">
        <f>IFERROR(VALUE(mlb_payrolls[[#This Row],[Total Payroll Allocations]])/VALUE(mlb_payrolls[[#This Row],[Wins]]),"")</f>
        <v>1456307.5813953488</v>
      </c>
      <c r="P232" s="1">
        <f>SUM(mlb_payrolls[[#This Row],[Active 26-Man]],mlb_payrolls[[#This Row],[Injured]],mlb_payrolls[[#This Row],[Retained]],mlb_payrolls[[#This Row],[Buried]])</f>
        <v>125242452</v>
      </c>
      <c r="Q232" s="1">
        <f>mlb_payrolls[[#This Row],[Total Payroll Allocations]]-mlb_payrolls[[#This Row],[Payroll Parts Sum]]</f>
        <v>0</v>
      </c>
      <c r="R232" s="2">
        <f>IF(mlb_payrolls[[#This Row],[Total Payroll Allocations]]&gt;0, mlb_payrolls[[#This Row],[Active 26-Man]]/mlb_payrolls[[#This Row],[Total Payroll Allocations]],"")</f>
        <v>0.99121703557831975</v>
      </c>
      <c r="S232" s="2">
        <f>IF(mlb_payrolls[[#This Row],[Total Payroll Allocations]]&gt;0,mlb_payrolls[[#This Row],[Injured]]/mlb_payrolls[[#This Row],[Total Payroll Allocations]])</f>
        <v>0</v>
      </c>
      <c r="T232" s="3">
        <f>IF(mlb_payrolls[[#This Row],[Total Payroll Allocations]]&gt;0,mlb_payrolls[[#This Row],[Retained]]/mlb_payrolls[[#This Row],[Total Payroll Allocations]])</f>
        <v>8.7829644216802782E-3</v>
      </c>
      <c r="U232" s="3">
        <f>IF(mlb_payrolls[[#This Row],[Total Payroll Allocations]]&gt;0,mlb_payrolls[[#This Row],[Buried]]/mlb_payrolls[[#This Row],[Total Payroll Allocations]])</f>
        <v>0</v>
      </c>
      <c r="V232">
        <f>IF(mlb_payrolls[[#This Row],[Postseason]]="No Playoffs",0,1)</f>
        <v>0</v>
      </c>
    </row>
    <row r="233" spans="1:22" x14ac:dyDescent="0.3">
      <c r="A233" t="s">
        <v>37</v>
      </c>
      <c r="B233" t="s">
        <v>38</v>
      </c>
      <c r="C233">
        <v>2019</v>
      </c>
      <c r="D233">
        <v>27.3</v>
      </c>
      <c r="E233" s="1">
        <v>125256003</v>
      </c>
      <c r="F233" s="1">
        <v>96059595</v>
      </c>
      <c r="G233" s="1">
        <v>1773872</v>
      </c>
      <c r="H233" s="1">
        <v>19156231</v>
      </c>
      <c r="I233" s="1">
        <v>266305</v>
      </c>
      <c r="J233">
        <v>101</v>
      </c>
      <c r="K233">
        <v>61</v>
      </c>
      <c r="L233" t="s">
        <v>24</v>
      </c>
      <c r="M233">
        <f>mlb_payrolls[[#This Row],[Wins]] + mlb_payrolls[[#This Row],[Losses]]</f>
        <v>162</v>
      </c>
      <c r="N233" s="2">
        <f>IF(mlb_payrolls[[#This Row],[Games]] &gt;0, mlb_payrolls[[#This Row],[Wins]]/mlb_payrolls[[#This Row],[Games]], "")</f>
        <v>0.62345679012345678</v>
      </c>
      <c r="O233" s="1">
        <f>IFERROR(VALUE(mlb_payrolls[[#This Row],[Total Payroll Allocations]])/VALUE(mlb_payrolls[[#This Row],[Wins]]),"")</f>
        <v>1240158.4455445544</v>
      </c>
      <c r="P233" s="1">
        <f>SUM(mlb_payrolls[[#This Row],[Active 26-Man]],mlb_payrolls[[#This Row],[Injured]],mlb_payrolls[[#This Row],[Retained]],mlb_payrolls[[#This Row],[Buried]])</f>
        <v>117256003</v>
      </c>
      <c r="Q233" s="1">
        <f>mlb_payrolls[[#This Row],[Total Payroll Allocations]]-mlb_payrolls[[#This Row],[Payroll Parts Sum]]</f>
        <v>8000000</v>
      </c>
      <c r="R233" s="2">
        <f>IF(mlb_payrolls[[#This Row],[Total Payroll Allocations]]&gt;0, mlb_payrolls[[#This Row],[Active 26-Man]]/mlb_payrolls[[#This Row],[Total Payroll Allocations]],"")</f>
        <v>0.76690611786486595</v>
      </c>
      <c r="S233" s="2">
        <f>IF(mlb_payrolls[[#This Row],[Total Payroll Allocations]]&gt;0,mlb_payrolls[[#This Row],[Injured]]/mlb_payrolls[[#This Row],[Total Payroll Allocations]])</f>
        <v>1.4161971941576324E-2</v>
      </c>
      <c r="T233" s="3">
        <f>IF(mlb_payrolls[[#This Row],[Total Payroll Allocations]]&gt;0,mlb_payrolls[[#This Row],[Retained]]/mlb_payrolls[[#This Row],[Total Payroll Allocations]])</f>
        <v>0.15293663011105343</v>
      </c>
      <c r="U233" s="3">
        <f>IF(mlb_payrolls[[#This Row],[Total Payroll Allocations]]&gt;0,mlb_payrolls[[#This Row],[Buried]]/mlb_payrolls[[#This Row],[Total Payroll Allocations]])</f>
        <v>2.1260857254083066E-3</v>
      </c>
      <c r="V233">
        <f>IF(mlb_payrolls[[#This Row],[Postseason]]="No Playoffs",0,1)</f>
        <v>1</v>
      </c>
    </row>
    <row r="234" spans="1:22" x14ac:dyDescent="0.3">
      <c r="A234" t="s">
        <v>39</v>
      </c>
      <c r="B234" t="s">
        <v>40</v>
      </c>
      <c r="C234">
        <v>2015</v>
      </c>
      <c r="D234">
        <v>27.5</v>
      </c>
      <c r="E234" s="1">
        <v>126045473</v>
      </c>
      <c r="F234" s="1">
        <v>95874782</v>
      </c>
      <c r="G234" s="1">
        <v>1383169</v>
      </c>
      <c r="H234" s="1">
        <v>25921321</v>
      </c>
      <c r="I234" s="1">
        <v>2866201</v>
      </c>
      <c r="J234">
        <v>76</v>
      </c>
      <c r="K234">
        <v>86</v>
      </c>
      <c r="L234" t="s">
        <v>14</v>
      </c>
      <c r="M234">
        <f>mlb_payrolls[[#This Row],[Wins]] + mlb_payrolls[[#This Row],[Losses]]</f>
        <v>162</v>
      </c>
      <c r="N234" s="2">
        <f>IF(mlb_payrolls[[#This Row],[Games]] &gt;0, mlb_payrolls[[#This Row],[Wins]]/mlb_payrolls[[#This Row],[Games]], "")</f>
        <v>0.46913580246913578</v>
      </c>
      <c r="O234" s="1">
        <f>IFERROR(VALUE(mlb_payrolls[[#This Row],[Total Payroll Allocations]])/VALUE(mlb_payrolls[[#This Row],[Wins]]),"")</f>
        <v>1658493.0657894737</v>
      </c>
      <c r="P234" s="1">
        <f>SUM(mlb_payrolls[[#This Row],[Active 26-Man]],mlb_payrolls[[#This Row],[Injured]],mlb_payrolls[[#This Row],[Retained]],mlb_payrolls[[#This Row],[Buried]])</f>
        <v>126045473</v>
      </c>
      <c r="Q234" s="1">
        <f>mlb_payrolls[[#This Row],[Total Payroll Allocations]]-mlb_payrolls[[#This Row],[Payroll Parts Sum]]</f>
        <v>0</v>
      </c>
      <c r="R234" s="2">
        <f>IF(mlb_payrolls[[#This Row],[Total Payroll Allocations]]&gt;0, mlb_payrolls[[#This Row],[Active 26-Man]]/mlb_payrolls[[#This Row],[Total Payroll Allocations]],"")</f>
        <v>0.76063645697136617</v>
      </c>
      <c r="S234" s="2">
        <f>IF(mlb_payrolls[[#This Row],[Total Payroll Allocations]]&gt;0,mlb_payrolls[[#This Row],[Injured]]/mlb_payrolls[[#This Row],[Total Payroll Allocations]])</f>
        <v>1.0973571418943385E-2</v>
      </c>
      <c r="T234" s="3">
        <f>IF(mlb_payrolls[[#This Row],[Total Payroll Allocations]]&gt;0,mlb_payrolls[[#This Row],[Retained]]/mlb_payrolls[[#This Row],[Total Payroll Allocations]])</f>
        <v>0.20565055121019699</v>
      </c>
      <c r="U234" s="3">
        <f>IF(mlb_payrolls[[#This Row],[Total Payroll Allocations]]&gt;0,mlb_payrolls[[#This Row],[Buried]]/mlb_payrolls[[#This Row],[Total Payroll Allocations]])</f>
        <v>2.2739420399493442E-2</v>
      </c>
      <c r="V234">
        <f>IF(mlb_payrolls[[#This Row],[Postseason]]="No Playoffs",0,1)</f>
        <v>0</v>
      </c>
    </row>
    <row r="235" spans="1:22" x14ac:dyDescent="0.3">
      <c r="A235" t="s">
        <v>31</v>
      </c>
      <c r="B235" t="s">
        <v>32</v>
      </c>
      <c r="C235">
        <v>2015</v>
      </c>
      <c r="D235">
        <v>28.8</v>
      </c>
      <c r="E235" s="1">
        <v>126529835</v>
      </c>
      <c r="F235" s="1">
        <v>111740891</v>
      </c>
      <c r="G235" s="1">
        <v>10483450</v>
      </c>
      <c r="H235" s="1">
        <v>4047582</v>
      </c>
      <c r="I235" s="1">
        <v>257912</v>
      </c>
      <c r="J235">
        <v>95</v>
      </c>
      <c r="K235">
        <v>67</v>
      </c>
      <c r="L235" t="s">
        <v>24</v>
      </c>
      <c r="M235">
        <f>mlb_payrolls[[#This Row],[Wins]] + mlb_payrolls[[#This Row],[Losses]]</f>
        <v>162</v>
      </c>
      <c r="N235" s="2">
        <f>IF(mlb_payrolls[[#This Row],[Games]] &gt;0, mlb_payrolls[[#This Row],[Wins]]/mlb_payrolls[[#This Row],[Games]], "")</f>
        <v>0.5864197530864198</v>
      </c>
      <c r="O235" s="1">
        <f>IFERROR(VALUE(mlb_payrolls[[#This Row],[Total Payroll Allocations]])/VALUE(mlb_payrolls[[#This Row],[Wins]]),"")</f>
        <v>1331893</v>
      </c>
      <c r="P235" s="1">
        <f>SUM(mlb_payrolls[[#This Row],[Active 26-Man]],mlb_payrolls[[#This Row],[Injured]],mlb_payrolls[[#This Row],[Retained]],mlb_payrolls[[#This Row],[Buried]])</f>
        <v>126529835</v>
      </c>
      <c r="Q235" s="1">
        <f>mlb_payrolls[[#This Row],[Total Payroll Allocations]]-mlb_payrolls[[#This Row],[Payroll Parts Sum]]</f>
        <v>0</v>
      </c>
      <c r="R235" s="2">
        <f>IF(mlb_payrolls[[#This Row],[Total Payroll Allocations]]&gt;0, mlb_payrolls[[#This Row],[Active 26-Man]]/mlb_payrolls[[#This Row],[Total Payroll Allocations]],"")</f>
        <v>0.88311891815870935</v>
      </c>
      <c r="S235" s="2">
        <f>IF(mlb_payrolls[[#This Row],[Total Payroll Allocations]]&gt;0,mlb_payrolls[[#This Row],[Injured]]/mlb_payrolls[[#This Row],[Total Payroll Allocations]])</f>
        <v>8.2853581528814918E-2</v>
      </c>
      <c r="T235" s="3">
        <f>IF(mlb_payrolls[[#This Row],[Total Payroll Allocations]]&gt;0,mlb_payrolls[[#This Row],[Retained]]/mlb_payrolls[[#This Row],[Total Payroll Allocations]])</f>
        <v>3.1989151017228469E-2</v>
      </c>
      <c r="U235" s="3">
        <f>IF(mlb_payrolls[[#This Row],[Total Payroll Allocations]]&gt;0,mlb_payrolls[[#This Row],[Buried]]/mlb_payrolls[[#This Row],[Total Payroll Allocations]])</f>
        <v>2.0383492952472434E-3</v>
      </c>
      <c r="V235">
        <f>IF(mlb_payrolls[[#This Row],[Postseason]]="No Playoffs",0,1)</f>
        <v>1</v>
      </c>
    </row>
    <row r="236" spans="1:22" x14ac:dyDescent="0.3">
      <c r="A236" t="s">
        <v>29</v>
      </c>
      <c r="B236" t="s">
        <v>30</v>
      </c>
      <c r="C236">
        <v>2021</v>
      </c>
      <c r="D236">
        <v>28</v>
      </c>
      <c r="E236" s="1">
        <v>126587447</v>
      </c>
      <c r="F236" s="1">
        <v>85325437</v>
      </c>
      <c r="G236" s="1">
        <v>35531500</v>
      </c>
      <c r="H236" s="1">
        <v>4226409</v>
      </c>
      <c r="I236" s="1">
        <v>1504101</v>
      </c>
      <c r="J236">
        <v>83</v>
      </c>
      <c r="K236">
        <v>79</v>
      </c>
      <c r="L236" t="s">
        <v>14</v>
      </c>
      <c r="M236">
        <f>mlb_payrolls[[#This Row],[Wins]] + mlb_payrolls[[#This Row],[Losses]]</f>
        <v>162</v>
      </c>
      <c r="N236" s="2">
        <f>IF(mlb_payrolls[[#This Row],[Games]] &gt;0, mlb_payrolls[[#This Row],[Wins]]/mlb_payrolls[[#This Row],[Games]], "")</f>
        <v>0.51234567901234573</v>
      </c>
      <c r="O236" s="1">
        <f>IFERROR(VALUE(mlb_payrolls[[#This Row],[Total Payroll Allocations]])/VALUE(mlb_payrolls[[#This Row],[Wins]]),"")</f>
        <v>1525149.9638554216</v>
      </c>
      <c r="P236" s="1">
        <f>SUM(mlb_payrolls[[#This Row],[Active 26-Man]],mlb_payrolls[[#This Row],[Injured]],mlb_payrolls[[#This Row],[Retained]],mlb_payrolls[[#This Row],[Buried]])</f>
        <v>126587447</v>
      </c>
      <c r="Q236" s="1">
        <f>mlb_payrolls[[#This Row],[Total Payroll Allocations]]-mlb_payrolls[[#This Row],[Payroll Parts Sum]]</f>
        <v>0</v>
      </c>
      <c r="R236" s="2">
        <f>IF(mlb_payrolls[[#This Row],[Total Payroll Allocations]]&gt;0, mlb_payrolls[[#This Row],[Active 26-Man]]/mlb_payrolls[[#This Row],[Total Payroll Allocations]],"")</f>
        <v>0.67404343023048718</v>
      </c>
      <c r="S236" s="2">
        <f>IF(mlb_payrolls[[#This Row],[Total Payroll Allocations]]&gt;0,mlb_payrolls[[#This Row],[Injured]]/mlb_payrolls[[#This Row],[Total Payroll Allocations]])</f>
        <v>0.2806873891690066</v>
      </c>
      <c r="T236" s="3">
        <f>IF(mlb_payrolls[[#This Row],[Total Payroll Allocations]]&gt;0,mlb_payrolls[[#This Row],[Retained]]/mlb_payrolls[[#This Row],[Total Payroll Allocations]])</f>
        <v>3.3387267854450058E-2</v>
      </c>
      <c r="U236" s="3">
        <f>IF(mlb_payrolls[[#This Row],[Total Payroll Allocations]]&gt;0,mlb_payrolls[[#This Row],[Buried]]/mlb_payrolls[[#This Row],[Total Payroll Allocations]])</f>
        <v>1.1881912746056092E-2</v>
      </c>
      <c r="V236">
        <f>IF(mlb_payrolls[[#This Row],[Postseason]]="No Playoffs",0,1)</f>
        <v>0</v>
      </c>
    </row>
    <row r="237" spans="1:22" x14ac:dyDescent="0.3">
      <c r="A237" t="s">
        <v>33</v>
      </c>
      <c r="B237" t="s">
        <v>34</v>
      </c>
      <c r="C237">
        <v>2022</v>
      </c>
      <c r="D237">
        <v>28.8</v>
      </c>
      <c r="E237" s="1">
        <v>126672438</v>
      </c>
      <c r="F237" s="1">
        <v>58988509</v>
      </c>
      <c r="G237" s="1">
        <v>40679307</v>
      </c>
      <c r="H237" s="1">
        <v>25629924</v>
      </c>
      <c r="I237" s="1">
        <v>1374698</v>
      </c>
      <c r="J237">
        <v>55</v>
      </c>
      <c r="K237">
        <v>107</v>
      </c>
      <c r="L237" t="s">
        <v>14</v>
      </c>
      <c r="M237">
        <f>mlb_payrolls[[#This Row],[Wins]] + mlb_payrolls[[#This Row],[Losses]]</f>
        <v>162</v>
      </c>
      <c r="N237" s="2">
        <f>IF(mlb_payrolls[[#This Row],[Games]] &gt;0, mlb_payrolls[[#This Row],[Wins]]/mlb_payrolls[[#This Row],[Games]], "")</f>
        <v>0.33950617283950618</v>
      </c>
      <c r="O237" s="1">
        <f>IFERROR(VALUE(mlb_payrolls[[#This Row],[Total Payroll Allocations]])/VALUE(mlb_payrolls[[#This Row],[Wins]]),"")</f>
        <v>2303135.2363636363</v>
      </c>
      <c r="P237" s="1">
        <f>SUM(mlb_payrolls[[#This Row],[Active 26-Man]],mlb_payrolls[[#This Row],[Injured]],mlb_payrolls[[#This Row],[Retained]],mlb_payrolls[[#This Row],[Buried]])</f>
        <v>126672438</v>
      </c>
      <c r="Q237" s="1">
        <f>mlb_payrolls[[#This Row],[Total Payroll Allocations]]-mlb_payrolls[[#This Row],[Payroll Parts Sum]]</f>
        <v>0</v>
      </c>
      <c r="R237" s="2">
        <f>IF(mlb_payrolls[[#This Row],[Total Payroll Allocations]]&gt;0, mlb_payrolls[[#This Row],[Active 26-Man]]/mlb_payrolls[[#This Row],[Total Payroll Allocations]],"")</f>
        <v>0.46567753752398766</v>
      </c>
      <c r="S237" s="2">
        <f>IF(mlb_payrolls[[#This Row],[Total Payroll Allocations]]&gt;0,mlb_payrolls[[#This Row],[Injured]]/mlb_payrolls[[#This Row],[Total Payroll Allocations]])</f>
        <v>0.32113779163230444</v>
      </c>
      <c r="T237" s="3">
        <f>IF(mlb_payrolls[[#This Row],[Total Payroll Allocations]]&gt;0,mlb_payrolls[[#This Row],[Retained]]/mlb_payrolls[[#This Row],[Total Payroll Allocations]])</f>
        <v>0.20233228636524703</v>
      </c>
      <c r="U237" s="3">
        <f>IF(mlb_payrolls[[#This Row],[Total Payroll Allocations]]&gt;0,mlb_payrolls[[#This Row],[Buried]]/mlb_payrolls[[#This Row],[Total Payroll Allocations]])</f>
        <v>1.0852384478460894E-2</v>
      </c>
      <c r="V237">
        <f>IF(mlb_payrolls[[#This Row],[Postseason]]="No Playoffs",0,1)</f>
        <v>0</v>
      </c>
    </row>
    <row r="238" spans="1:22" x14ac:dyDescent="0.3">
      <c r="A238" t="s">
        <v>69</v>
      </c>
      <c r="B238" t="s">
        <v>70</v>
      </c>
      <c r="C238">
        <v>2011</v>
      </c>
      <c r="D238">
        <v>28.5</v>
      </c>
      <c r="E238" s="1">
        <v>127263027</v>
      </c>
      <c r="F238" s="1">
        <v>114482025</v>
      </c>
      <c r="G238" s="1">
        <v>0</v>
      </c>
      <c r="H238" s="1">
        <v>12781002</v>
      </c>
      <c r="I238" s="1">
        <v>0</v>
      </c>
      <c r="J238">
        <v>79</v>
      </c>
      <c r="K238">
        <v>83</v>
      </c>
      <c r="L238" t="s">
        <v>14</v>
      </c>
      <c r="M238">
        <f>mlb_payrolls[[#This Row],[Wins]] + mlb_payrolls[[#This Row],[Losses]]</f>
        <v>162</v>
      </c>
      <c r="N238" s="2">
        <f>IF(mlb_payrolls[[#This Row],[Games]] &gt;0, mlb_payrolls[[#This Row],[Wins]]/mlb_payrolls[[#This Row],[Games]], "")</f>
        <v>0.48765432098765432</v>
      </c>
      <c r="O238" s="1">
        <f>IFERROR(VALUE(mlb_payrolls[[#This Row],[Total Payroll Allocations]])/VALUE(mlb_payrolls[[#This Row],[Wins]]),"")</f>
        <v>1610924.3924050634</v>
      </c>
      <c r="P238" s="1">
        <f>SUM(mlb_payrolls[[#This Row],[Active 26-Man]],mlb_payrolls[[#This Row],[Injured]],mlb_payrolls[[#This Row],[Retained]],mlb_payrolls[[#This Row],[Buried]])</f>
        <v>127263027</v>
      </c>
      <c r="Q238" s="1">
        <f>mlb_payrolls[[#This Row],[Total Payroll Allocations]]-mlb_payrolls[[#This Row],[Payroll Parts Sum]]</f>
        <v>0</v>
      </c>
      <c r="R238" s="2">
        <f>IF(mlb_payrolls[[#This Row],[Total Payroll Allocations]]&gt;0, mlb_payrolls[[#This Row],[Active 26-Man]]/mlb_payrolls[[#This Row],[Total Payroll Allocations]],"")</f>
        <v>0.8995701870269045</v>
      </c>
      <c r="S238" s="2">
        <f>IF(mlb_payrolls[[#This Row],[Total Payroll Allocations]]&gt;0,mlb_payrolls[[#This Row],[Injured]]/mlb_payrolls[[#This Row],[Total Payroll Allocations]])</f>
        <v>0</v>
      </c>
      <c r="T238" s="3">
        <f>IF(mlb_payrolls[[#This Row],[Total Payroll Allocations]]&gt;0,mlb_payrolls[[#This Row],[Retained]]/mlb_payrolls[[#This Row],[Total Payroll Allocations]])</f>
        <v>0.10042981297309547</v>
      </c>
      <c r="U238" s="3">
        <f>IF(mlb_payrolls[[#This Row],[Total Payroll Allocations]]&gt;0,mlb_payrolls[[#This Row],[Buried]]/mlb_payrolls[[#This Row],[Total Payroll Allocations]])</f>
        <v>0</v>
      </c>
      <c r="V238">
        <f>IF(mlb_payrolls[[#This Row],[Postseason]]="No Playoffs",0,1)</f>
        <v>0</v>
      </c>
    </row>
    <row r="239" spans="1:22" x14ac:dyDescent="0.3">
      <c r="A239" t="s">
        <v>63</v>
      </c>
      <c r="B239" t="s">
        <v>64</v>
      </c>
      <c r="C239">
        <v>2019</v>
      </c>
      <c r="D239">
        <v>26.1</v>
      </c>
      <c r="E239" s="1">
        <v>127538766</v>
      </c>
      <c r="F239" s="1">
        <v>64904339</v>
      </c>
      <c r="G239" s="1">
        <v>26592526</v>
      </c>
      <c r="H239" s="1">
        <v>31252401</v>
      </c>
      <c r="I239" s="1">
        <v>4789500</v>
      </c>
      <c r="J239">
        <v>78</v>
      </c>
      <c r="K239">
        <v>84</v>
      </c>
      <c r="L239" t="s">
        <v>14</v>
      </c>
      <c r="M239">
        <f>mlb_payrolls[[#This Row],[Wins]] + mlb_payrolls[[#This Row],[Losses]]</f>
        <v>162</v>
      </c>
      <c r="N239" s="2">
        <f>IF(mlb_payrolls[[#This Row],[Games]] &gt;0, mlb_payrolls[[#This Row],[Wins]]/mlb_payrolls[[#This Row],[Games]], "")</f>
        <v>0.48148148148148145</v>
      </c>
      <c r="O239" s="1">
        <f>IFERROR(VALUE(mlb_payrolls[[#This Row],[Total Payroll Allocations]])/VALUE(mlb_payrolls[[#This Row],[Wins]]),"")</f>
        <v>1635112.3846153845</v>
      </c>
      <c r="P239" s="1">
        <f>SUM(mlb_payrolls[[#This Row],[Active 26-Man]],mlb_payrolls[[#This Row],[Injured]],mlb_payrolls[[#This Row],[Retained]],mlb_payrolls[[#This Row],[Buried]])</f>
        <v>127538766</v>
      </c>
      <c r="Q239" s="1">
        <f>mlb_payrolls[[#This Row],[Total Payroll Allocations]]-mlb_payrolls[[#This Row],[Payroll Parts Sum]]</f>
        <v>0</v>
      </c>
      <c r="R239" s="2">
        <f>IF(mlb_payrolls[[#This Row],[Total Payroll Allocations]]&gt;0, mlb_payrolls[[#This Row],[Active 26-Man]]/mlb_payrolls[[#This Row],[Total Payroll Allocations]],"")</f>
        <v>0.50889890999886267</v>
      </c>
      <c r="S239" s="2">
        <f>IF(mlb_payrolls[[#This Row],[Total Payroll Allocations]]&gt;0,mlb_payrolls[[#This Row],[Injured]]/mlb_payrolls[[#This Row],[Total Payroll Allocations]])</f>
        <v>0.20850543590801246</v>
      </c>
      <c r="T239" s="3">
        <f>IF(mlb_payrolls[[#This Row],[Total Payroll Allocations]]&gt;0,mlb_payrolls[[#This Row],[Retained]]/mlb_payrolls[[#This Row],[Total Payroll Allocations]])</f>
        <v>0.24504236617751185</v>
      </c>
      <c r="U239" s="3">
        <f>IF(mlb_payrolls[[#This Row],[Total Payroll Allocations]]&gt;0,mlb_payrolls[[#This Row],[Buried]]/mlb_payrolls[[#This Row],[Total Payroll Allocations]])</f>
        <v>3.7553287915613048E-2</v>
      </c>
      <c r="V239">
        <f>IF(mlb_payrolls[[#This Row],[Postseason]]="No Playoffs",0,1)</f>
        <v>0</v>
      </c>
    </row>
    <row r="240" spans="1:22" x14ac:dyDescent="0.3">
      <c r="A240" t="s">
        <v>29</v>
      </c>
      <c r="B240" t="s">
        <v>30</v>
      </c>
      <c r="C240">
        <v>2019</v>
      </c>
      <c r="D240">
        <v>27.2</v>
      </c>
      <c r="E240" s="1">
        <v>128691569</v>
      </c>
      <c r="F240" s="1">
        <v>84680306</v>
      </c>
      <c r="G240" s="1">
        <v>580000</v>
      </c>
      <c r="H240" s="1">
        <v>43074191</v>
      </c>
      <c r="I240" s="1">
        <v>357072</v>
      </c>
      <c r="J240">
        <v>75</v>
      </c>
      <c r="K240">
        <v>87</v>
      </c>
      <c r="L240" t="s">
        <v>14</v>
      </c>
      <c r="M240">
        <f>mlb_payrolls[[#This Row],[Wins]] + mlb_payrolls[[#This Row],[Losses]]</f>
        <v>162</v>
      </c>
      <c r="N240" s="2">
        <f>IF(mlb_payrolls[[#This Row],[Games]] &gt;0, mlb_payrolls[[#This Row],[Wins]]/mlb_payrolls[[#This Row],[Games]], "")</f>
        <v>0.46296296296296297</v>
      </c>
      <c r="O240" s="1">
        <f>IFERROR(VALUE(mlb_payrolls[[#This Row],[Total Payroll Allocations]])/VALUE(mlb_payrolls[[#This Row],[Wins]]),"")</f>
        <v>1715887.5866666667</v>
      </c>
      <c r="P240" s="1">
        <f>SUM(mlb_payrolls[[#This Row],[Active 26-Man]],mlb_payrolls[[#This Row],[Injured]],mlb_payrolls[[#This Row],[Retained]],mlb_payrolls[[#This Row],[Buried]])</f>
        <v>128691569</v>
      </c>
      <c r="Q240" s="1">
        <f>mlb_payrolls[[#This Row],[Total Payroll Allocations]]-mlb_payrolls[[#This Row],[Payroll Parts Sum]]</f>
        <v>0</v>
      </c>
      <c r="R240" s="2">
        <f>IF(mlb_payrolls[[#This Row],[Total Payroll Allocations]]&gt;0, mlb_payrolls[[#This Row],[Active 26-Man]]/mlb_payrolls[[#This Row],[Total Payroll Allocations]],"")</f>
        <v>0.65800974110432986</v>
      </c>
      <c r="S240" s="2">
        <f>IF(mlb_payrolls[[#This Row],[Total Payroll Allocations]]&gt;0,mlb_payrolls[[#This Row],[Injured]]/mlb_payrolls[[#This Row],[Total Payroll Allocations]])</f>
        <v>4.506899748809497E-3</v>
      </c>
      <c r="T240" s="3">
        <f>IF(mlb_payrolls[[#This Row],[Total Payroll Allocations]]&gt;0,mlb_payrolls[[#This Row],[Retained]]/mlb_payrolls[[#This Row],[Total Payroll Allocations]])</f>
        <v>0.33470872516909012</v>
      </c>
      <c r="U240" s="3">
        <f>IF(mlb_payrolls[[#This Row],[Total Payroll Allocations]]&gt;0,mlb_payrolls[[#This Row],[Buried]]/mlb_payrolls[[#This Row],[Total Payroll Allocations]])</f>
        <v>2.774633977770525E-3</v>
      </c>
      <c r="V240">
        <f>IF(mlb_payrolls[[#This Row],[Postseason]]="No Playoffs",0,1)</f>
        <v>0</v>
      </c>
    </row>
    <row r="241" spans="1:22" x14ac:dyDescent="0.3">
      <c r="A241" t="s">
        <v>37</v>
      </c>
      <c r="B241" t="s">
        <v>38</v>
      </c>
      <c r="C241">
        <v>2024</v>
      </c>
      <c r="D241">
        <v>28.5</v>
      </c>
      <c r="E241" s="1">
        <v>129080051</v>
      </c>
      <c r="F241" s="1">
        <v>102020614</v>
      </c>
      <c r="G241" s="1">
        <v>22053202</v>
      </c>
      <c r="H241" s="1">
        <v>2570833</v>
      </c>
      <c r="I241" s="1">
        <v>2435402</v>
      </c>
      <c r="J241">
        <v>82</v>
      </c>
      <c r="K241">
        <v>80</v>
      </c>
      <c r="L241" t="s">
        <v>14</v>
      </c>
      <c r="M241">
        <f>mlb_payrolls[[#This Row],[Wins]] + mlb_payrolls[[#This Row],[Losses]]</f>
        <v>162</v>
      </c>
      <c r="N241" s="2">
        <f>IF(mlb_payrolls[[#This Row],[Games]] &gt;0, mlb_payrolls[[#This Row],[Wins]]/mlb_payrolls[[#This Row],[Games]], "")</f>
        <v>0.50617283950617287</v>
      </c>
      <c r="O241" s="1">
        <f>IFERROR(VALUE(mlb_payrolls[[#This Row],[Total Payroll Allocations]])/VALUE(mlb_payrolls[[#This Row],[Wins]]),"")</f>
        <v>1574146.9634146341</v>
      </c>
      <c r="P241" s="1">
        <f>SUM(mlb_payrolls[[#This Row],[Active 26-Man]],mlb_payrolls[[#This Row],[Injured]],mlb_payrolls[[#This Row],[Retained]],mlb_payrolls[[#This Row],[Buried]])</f>
        <v>129080051</v>
      </c>
      <c r="Q241" s="1">
        <f>mlb_payrolls[[#This Row],[Total Payroll Allocations]]-mlb_payrolls[[#This Row],[Payroll Parts Sum]]</f>
        <v>0</v>
      </c>
      <c r="R241" s="2">
        <f>IF(mlb_payrolls[[#This Row],[Total Payroll Allocations]]&gt;0, mlb_payrolls[[#This Row],[Active 26-Man]]/mlb_payrolls[[#This Row],[Total Payroll Allocations]],"")</f>
        <v>0.79036701031362311</v>
      </c>
      <c r="S241" s="2">
        <f>IF(mlb_payrolls[[#This Row],[Total Payroll Allocations]]&gt;0,mlb_payrolls[[#This Row],[Injured]]/mlb_payrolls[[#This Row],[Total Payroll Allocations]])</f>
        <v>0.1708490338294025</v>
      </c>
      <c r="T241" s="3">
        <f>IF(mlb_payrolls[[#This Row],[Total Payroll Allocations]]&gt;0,mlb_payrolls[[#This Row],[Retained]]/mlb_payrolls[[#This Row],[Total Payroll Allocations]])</f>
        <v>1.9916578743837031E-2</v>
      </c>
      <c r="U241" s="3">
        <f>IF(mlb_payrolls[[#This Row],[Total Payroll Allocations]]&gt;0,mlb_payrolls[[#This Row],[Buried]]/mlb_payrolls[[#This Row],[Total Payroll Allocations]])</f>
        <v>1.8867377113137334E-2</v>
      </c>
      <c r="V241">
        <f>IF(mlb_payrolls[[#This Row],[Postseason]]="No Playoffs",0,1)</f>
        <v>0</v>
      </c>
    </row>
    <row r="242" spans="1:22" x14ac:dyDescent="0.3">
      <c r="A242" t="s">
        <v>69</v>
      </c>
      <c r="B242" t="s">
        <v>70</v>
      </c>
      <c r="C242">
        <v>2016</v>
      </c>
      <c r="D242">
        <v>27</v>
      </c>
      <c r="E242" s="1">
        <v>129715686</v>
      </c>
      <c r="F242" s="1">
        <v>88724466</v>
      </c>
      <c r="G242" s="1">
        <v>12024268</v>
      </c>
      <c r="H242" s="1">
        <v>28966952</v>
      </c>
      <c r="I242" s="1">
        <v>0</v>
      </c>
      <c r="J242">
        <v>78</v>
      </c>
      <c r="K242">
        <v>84</v>
      </c>
      <c r="L242" t="s">
        <v>14</v>
      </c>
      <c r="M242">
        <f>mlb_payrolls[[#This Row],[Wins]] + mlb_payrolls[[#This Row],[Losses]]</f>
        <v>162</v>
      </c>
      <c r="N242" s="2">
        <f>IF(mlb_payrolls[[#This Row],[Games]] &gt;0, mlb_payrolls[[#This Row],[Wins]]/mlb_payrolls[[#This Row],[Games]], "")</f>
        <v>0.48148148148148145</v>
      </c>
      <c r="O242" s="1">
        <f>IFERROR(VALUE(mlb_payrolls[[#This Row],[Total Payroll Allocations]])/VALUE(mlb_payrolls[[#This Row],[Wins]]),"")</f>
        <v>1663021.6153846155</v>
      </c>
      <c r="P242" s="1">
        <f>SUM(mlb_payrolls[[#This Row],[Active 26-Man]],mlb_payrolls[[#This Row],[Injured]],mlb_payrolls[[#This Row],[Retained]],mlb_payrolls[[#This Row],[Buried]])</f>
        <v>129715686</v>
      </c>
      <c r="Q242" s="1">
        <f>mlb_payrolls[[#This Row],[Total Payroll Allocations]]-mlb_payrolls[[#This Row],[Payroll Parts Sum]]</f>
        <v>0</v>
      </c>
      <c r="R242" s="2">
        <f>IF(mlb_payrolls[[#This Row],[Total Payroll Allocations]]&gt;0, mlb_payrolls[[#This Row],[Active 26-Man]]/mlb_payrolls[[#This Row],[Total Payroll Allocations]],"")</f>
        <v>0.68399180342769028</v>
      </c>
      <c r="S242" s="2">
        <f>IF(mlb_payrolls[[#This Row],[Total Payroll Allocations]]&gt;0,mlb_payrolls[[#This Row],[Injured]]/mlb_payrolls[[#This Row],[Total Payroll Allocations]])</f>
        <v>9.2697100642091967E-2</v>
      </c>
      <c r="T242" s="3">
        <f>IF(mlb_payrolls[[#This Row],[Total Payroll Allocations]]&gt;0,mlb_payrolls[[#This Row],[Retained]]/mlb_payrolls[[#This Row],[Total Payroll Allocations]])</f>
        <v>0.22331109593021772</v>
      </c>
      <c r="U242" s="3">
        <f>IF(mlb_payrolls[[#This Row],[Total Payroll Allocations]]&gt;0,mlb_payrolls[[#This Row],[Buried]]/mlb_payrolls[[#This Row],[Total Payroll Allocations]])</f>
        <v>0</v>
      </c>
      <c r="V242">
        <f>IF(mlb_payrolls[[#This Row],[Postseason]]="No Playoffs",0,1)</f>
        <v>0</v>
      </c>
    </row>
    <row r="243" spans="1:22" x14ac:dyDescent="0.3">
      <c r="A243" t="s">
        <v>57</v>
      </c>
      <c r="B243" t="s">
        <v>58</v>
      </c>
      <c r="C243">
        <v>2018</v>
      </c>
      <c r="D243">
        <v>27.1</v>
      </c>
      <c r="E243" s="1">
        <v>129739447</v>
      </c>
      <c r="F243" s="1">
        <v>73767565</v>
      </c>
      <c r="G243" s="1">
        <v>13299094</v>
      </c>
      <c r="H243" s="1">
        <v>42392955</v>
      </c>
      <c r="I243" s="1">
        <v>279833</v>
      </c>
      <c r="J243">
        <v>90</v>
      </c>
      <c r="K243">
        <v>72</v>
      </c>
      <c r="L243" t="s">
        <v>24</v>
      </c>
      <c r="M243">
        <f>mlb_payrolls[[#This Row],[Wins]] + mlb_payrolls[[#This Row],[Losses]]</f>
        <v>162</v>
      </c>
      <c r="N243" s="2">
        <f>IF(mlb_payrolls[[#This Row],[Games]] &gt;0, mlb_payrolls[[#This Row],[Wins]]/mlb_payrolls[[#This Row],[Games]], "")</f>
        <v>0.55555555555555558</v>
      </c>
      <c r="O243" s="1">
        <f>IFERROR(VALUE(mlb_payrolls[[#This Row],[Total Payroll Allocations]])/VALUE(mlb_payrolls[[#This Row],[Wins]]),"")</f>
        <v>1441549.4111111111</v>
      </c>
      <c r="P243" s="1">
        <f>SUM(mlb_payrolls[[#This Row],[Active 26-Man]],mlb_payrolls[[#This Row],[Injured]],mlb_payrolls[[#This Row],[Retained]],mlb_payrolls[[#This Row],[Buried]])</f>
        <v>129739447</v>
      </c>
      <c r="Q243" s="1">
        <f>mlb_payrolls[[#This Row],[Total Payroll Allocations]]-mlb_payrolls[[#This Row],[Payroll Parts Sum]]</f>
        <v>0</v>
      </c>
      <c r="R243" s="2">
        <f>IF(mlb_payrolls[[#This Row],[Total Payroll Allocations]]&gt;0, mlb_payrolls[[#This Row],[Active 26-Man]]/mlb_payrolls[[#This Row],[Total Payroll Allocations]],"")</f>
        <v>0.56858239113659859</v>
      </c>
      <c r="S243" s="2">
        <f>IF(mlb_payrolls[[#This Row],[Total Payroll Allocations]]&gt;0,mlb_payrolls[[#This Row],[Injured]]/mlb_payrolls[[#This Row],[Total Payroll Allocations]])</f>
        <v>0.10250617146533698</v>
      </c>
      <c r="T243" s="3">
        <f>IF(mlb_payrolls[[#This Row],[Total Payroll Allocations]]&gt;0,mlb_payrolls[[#This Row],[Retained]]/mlb_payrolls[[#This Row],[Total Payroll Allocations]])</f>
        <v>0.3267545529155832</v>
      </c>
      <c r="U243" s="3">
        <f>IF(mlb_payrolls[[#This Row],[Total Payroll Allocations]]&gt;0,mlb_payrolls[[#This Row],[Buried]]/mlb_payrolls[[#This Row],[Total Payroll Allocations]])</f>
        <v>2.1568844824812611E-3</v>
      </c>
      <c r="V243">
        <f>IF(mlb_payrolls[[#This Row],[Postseason]]="No Playoffs",0,1)</f>
        <v>1</v>
      </c>
    </row>
    <row r="244" spans="1:22" x14ac:dyDescent="0.3">
      <c r="A244" t="s">
        <v>31</v>
      </c>
      <c r="B244" t="s">
        <v>32</v>
      </c>
      <c r="C244">
        <v>2018</v>
      </c>
      <c r="D244">
        <v>26.7</v>
      </c>
      <c r="E244" s="1">
        <v>129944821</v>
      </c>
      <c r="F244" s="1">
        <v>83618228</v>
      </c>
      <c r="G244" s="1">
        <v>7189167</v>
      </c>
      <c r="H244" s="1">
        <v>37811905</v>
      </c>
      <c r="I244" s="1">
        <v>1325521</v>
      </c>
      <c r="J244">
        <v>58</v>
      </c>
      <c r="K244">
        <v>104</v>
      </c>
      <c r="L244" t="s">
        <v>14</v>
      </c>
      <c r="M244">
        <f>mlb_payrolls[[#This Row],[Wins]] + mlb_payrolls[[#This Row],[Losses]]</f>
        <v>162</v>
      </c>
      <c r="N244" s="2">
        <f>IF(mlb_payrolls[[#This Row],[Games]] &gt;0, mlb_payrolls[[#This Row],[Wins]]/mlb_payrolls[[#This Row],[Games]], "")</f>
        <v>0.35802469135802467</v>
      </c>
      <c r="O244" s="1">
        <f>IFERROR(VALUE(mlb_payrolls[[#This Row],[Total Payroll Allocations]])/VALUE(mlb_payrolls[[#This Row],[Wins]]),"")</f>
        <v>2240427.9482758623</v>
      </c>
      <c r="P244" s="1">
        <f>SUM(mlb_payrolls[[#This Row],[Active 26-Man]],mlb_payrolls[[#This Row],[Injured]],mlb_payrolls[[#This Row],[Retained]],mlb_payrolls[[#This Row],[Buried]])</f>
        <v>129944821</v>
      </c>
      <c r="Q244" s="1">
        <f>mlb_payrolls[[#This Row],[Total Payroll Allocations]]-mlb_payrolls[[#This Row],[Payroll Parts Sum]]</f>
        <v>0</v>
      </c>
      <c r="R244" s="2">
        <f>IF(mlb_payrolls[[#This Row],[Total Payroll Allocations]]&gt;0, mlb_payrolls[[#This Row],[Active 26-Man]]/mlb_payrolls[[#This Row],[Total Payroll Allocations]],"")</f>
        <v>0.64349027038176454</v>
      </c>
      <c r="S244" s="2">
        <f>IF(mlb_payrolls[[#This Row],[Total Payroll Allocations]]&gt;0,mlb_payrolls[[#This Row],[Injured]]/mlb_payrolls[[#This Row],[Total Payroll Allocations]])</f>
        <v>5.5324767425706023E-2</v>
      </c>
      <c r="T244" s="3">
        <f>IF(mlb_payrolls[[#This Row],[Total Payroll Allocations]]&gt;0,mlb_payrolls[[#This Row],[Retained]]/mlb_payrolls[[#This Row],[Total Payroll Allocations]])</f>
        <v>0.29098431710487332</v>
      </c>
      <c r="U244" s="3">
        <f>IF(mlb_payrolls[[#This Row],[Total Payroll Allocations]]&gt;0,mlb_payrolls[[#This Row],[Buried]]/mlb_payrolls[[#This Row],[Total Payroll Allocations]])</f>
        <v>1.020064508765609E-2</v>
      </c>
      <c r="V244">
        <f>IF(mlb_payrolls[[#This Row],[Postseason]]="No Playoffs",0,1)</f>
        <v>0</v>
      </c>
    </row>
    <row r="245" spans="1:22" x14ac:dyDescent="0.3">
      <c r="A245" t="s">
        <v>25</v>
      </c>
      <c r="B245" t="s">
        <v>26</v>
      </c>
      <c r="C245">
        <v>2018</v>
      </c>
      <c r="D245">
        <v>26.2</v>
      </c>
      <c r="E245" s="1">
        <v>130413607</v>
      </c>
      <c r="F245" s="1">
        <v>69637987</v>
      </c>
      <c r="G245" s="1">
        <v>12650000</v>
      </c>
      <c r="H245" s="1">
        <v>43550980</v>
      </c>
      <c r="I245" s="1">
        <v>1574640</v>
      </c>
      <c r="J245">
        <v>47</v>
      </c>
      <c r="K245">
        <v>115</v>
      </c>
      <c r="L245" t="s">
        <v>14</v>
      </c>
      <c r="M245">
        <f>mlb_payrolls[[#This Row],[Wins]] + mlb_payrolls[[#This Row],[Losses]]</f>
        <v>162</v>
      </c>
      <c r="N245" s="2">
        <f>IF(mlb_payrolls[[#This Row],[Games]] &gt;0, mlb_payrolls[[#This Row],[Wins]]/mlb_payrolls[[#This Row],[Games]], "")</f>
        <v>0.29012345679012347</v>
      </c>
      <c r="O245" s="1">
        <f>IFERROR(VALUE(mlb_payrolls[[#This Row],[Total Payroll Allocations]])/VALUE(mlb_payrolls[[#This Row],[Wins]]),"")</f>
        <v>2774757.5957446811</v>
      </c>
      <c r="P245" s="1">
        <f>SUM(mlb_payrolls[[#This Row],[Active 26-Man]],mlb_payrolls[[#This Row],[Injured]],mlb_payrolls[[#This Row],[Retained]],mlb_payrolls[[#This Row],[Buried]])</f>
        <v>127413607</v>
      </c>
      <c r="Q245" s="1">
        <f>mlb_payrolls[[#This Row],[Total Payroll Allocations]]-mlb_payrolls[[#This Row],[Payroll Parts Sum]]</f>
        <v>3000000</v>
      </c>
      <c r="R245" s="2">
        <f>IF(mlb_payrolls[[#This Row],[Total Payroll Allocations]]&gt;0, mlb_payrolls[[#This Row],[Active 26-Man]]/mlb_payrolls[[#This Row],[Total Payroll Allocations]],"")</f>
        <v>0.5339779230245506</v>
      </c>
      <c r="S245" s="2">
        <f>IF(mlb_payrolls[[#This Row],[Total Payroll Allocations]]&gt;0,mlb_payrolls[[#This Row],[Injured]]/mlb_payrolls[[#This Row],[Total Payroll Allocations]])</f>
        <v>9.6999080778434416E-2</v>
      </c>
      <c r="T245" s="3">
        <f>IF(mlb_payrolls[[#This Row],[Total Payroll Allocations]]&gt;0,mlb_payrolls[[#This Row],[Retained]]/mlb_payrolls[[#This Row],[Total Payroll Allocations]])</f>
        <v>0.33394506142292346</v>
      </c>
      <c r="U245" s="3">
        <f>IF(mlb_payrolls[[#This Row],[Total Payroll Allocations]]&gt;0,mlb_payrolls[[#This Row],[Buried]]/mlb_payrolls[[#This Row],[Total Payroll Allocations]])</f>
        <v>1.2074200202130748E-2</v>
      </c>
      <c r="V245">
        <f>IF(mlb_payrolls[[#This Row],[Postseason]]="No Playoffs",0,1)</f>
        <v>0</v>
      </c>
    </row>
    <row r="246" spans="1:22" x14ac:dyDescent="0.3">
      <c r="A246" t="s">
        <v>27</v>
      </c>
      <c r="B246" t="s">
        <v>28</v>
      </c>
      <c r="C246">
        <v>2022</v>
      </c>
      <c r="D246">
        <v>28.5</v>
      </c>
      <c r="E246" s="1">
        <v>130769325</v>
      </c>
      <c r="F246" s="1">
        <v>93743089</v>
      </c>
      <c r="G246" s="1">
        <v>5763506</v>
      </c>
      <c r="H246" s="1">
        <v>26548013</v>
      </c>
      <c r="I246" s="1">
        <v>4714717</v>
      </c>
      <c r="J246">
        <v>86</v>
      </c>
      <c r="K246">
        <v>76</v>
      </c>
      <c r="L246" t="s">
        <v>14</v>
      </c>
      <c r="M246">
        <f>mlb_payrolls[[#This Row],[Wins]] + mlb_payrolls[[#This Row],[Losses]]</f>
        <v>162</v>
      </c>
      <c r="N246" s="2">
        <f>IF(mlb_payrolls[[#This Row],[Games]] &gt;0, mlb_payrolls[[#This Row],[Wins]]/mlb_payrolls[[#This Row],[Games]], "")</f>
        <v>0.53086419753086422</v>
      </c>
      <c r="O246" s="1">
        <f>IFERROR(VALUE(mlb_payrolls[[#This Row],[Total Payroll Allocations]])/VALUE(mlb_payrolls[[#This Row],[Wins]]),"")</f>
        <v>1520573.546511628</v>
      </c>
      <c r="P246" s="1">
        <f>SUM(mlb_payrolls[[#This Row],[Active 26-Man]],mlb_payrolls[[#This Row],[Injured]],mlb_payrolls[[#This Row],[Retained]],mlb_payrolls[[#This Row],[Buried]])</f>
        <v>130769325</v>
      </c>
      <c r="Q246" s="1">
        <f>mlb_payrolls[[#This Row],[Total Payroll Allocations]]-mlb_payrolls[[#This Row],[Payroll Parts Sum]]</f>
        <v>0</v>
      </c>
      <c r="R246" s="2">
        <f>IF(mlb_payrolls[[#This Row],[Total Payroll Allocations]]&gt;0, mlb_payrolls[[#This Row],[Active 26-Man]]/mlb_payrolls[[#This Row],[Total Payroll Allocations]],"")</f>
        <v>0.71685839932262396</v>
      </c>
      <c r="S246" s="2">
        <f>IF(mlb_payrolls[[#This Row],[Total Payroll Allocations]]&gt;0,mlb_payrolls[[#This Row],[Injured]]/mlb_payrolls[[#This Row],[Total Payroll Allocations]])</f>
        <v>4.4073837652675807E-2</v>
      </c>
      <c r="T246" s="3">
        <f>IF(mlb_payrolls[[#This Row],[Total Payroll Allocations]]&gt;0,mlb_payrolls[[#This Row],[Retained]]/mlb_payrolls[[#This Row],[Total Payroll Allocations]])</f>
        <v>0.20301407076927253</v>
      </c>
      <c r="U246" s="3">
        <f>IF(mlb_payrolls[[#This Row],[Total Payroll Allocations]]&gt;0,mlb_payrolls[[#This Row],[Buried]]/mlb_payrolls[[#This Row],[Total Payroll Allocations]])</f>
        <v>3.6053692255427643E-2</v>
      </c>
      <c r="V246">
        <f>IF(mlb_payrolls[[#This Row],[Postseason]]="No Playoffs",0,1)</f>
        <v>0</v>
      </c>
    </row>
    <row r="247" spans="1:22" x14ac:dyDescent="0.3">
      <c r="A247" t="s">
        <v>19</v>
      </c>
      <c r="B247" t="s">
        <v>20</v>
      </c>
      <c r="C247">
        <v>2018</v>
      </c>
      <c r="D247">
        <v>27.5</v>
      </c>
      <c r="E247" s="1">
        <v>130995349</v>
      </c>
      <c r="F247" s="1">
        <v>67047516</v>
      </c>
      <c r="G247" s="1">
        <v>37720870</v>
      </c>
      <c r="H247" s="1">
        <v>24437359</v>
      </c>
      <c r="I247" s="1">
        <v>1789604</v>
      </c>
      <c r="J247">
        <v>64</v>
      </c>
      <c r="K247">
        <v>98</v>
      </c>
      <c r="L247" t="s">
        <v>14</v>
      </c>
      <c r="M247">
        <f>mlb_payrolls[[#This Row],[Wins]] + mlb_payrolls[[#This Row],[Losses]]</f>
        <v>162</v>
      </c>
      <c r="N247" s="2">
        <f>IF(mlb_payrolls[[#This Row],[Games]] &gt;0, mlb_payrolls[[#This Row],[Wins]]/mlb_payrolls[[#This Row],[Games]], "")</f>
        <v>0.39506172839506171</v>
      </c>
      <c r="O247" s="1">
        <f>IFERROR(VALUE(mlb_payrolls[[#This Row],[Total Payroll Allocations]])/VALUE(mlb_payrolls[[#This Row],[Wins]]),"")</f>
        <v>2046802.328125</v>
      </c>
      <c r="P247" s="1">
        <f>SUM(mlb_payrolls[[#This Row],[Active 26-Man]],mlb_payrolls[[#This Row],[Injured]],mlb_payrolls[[#This Row],[Retained]],mlb_payrolls[[#This Row],[Buried]])</f>
        <v>130995349</v>
      </c>
      <c r="Q247" s="1">
        <f>mlb_payrolls[[#This Row],[Total Payroll Allocations]]-mlb_payrolls[[#This Row],[Payroll Parts Sum]]</f>
        <v>0</v>
      </c>
      <c r="R247" s="2">
        <f>IF(mlb_payrolls[[#This Row],[Total Payroll Allocations]]&gt;0, mlb_payrolls[[#This Row],[Active 26-Man]]/mlb_payrolls[[#This Row],[Total Payroll Allocations]],"")</f>
        <v>0.51183127120032335</v>
      </c>
      <c r="S247" s="2">
        <f>IF(mlb_payrolls[[#This Row],[Total Payroll Allocations]]&gt;0,mlb_payrolls[[#This Row],[Injured]]/mlb_payrolls[[#This Row],[Total Payroll Allocations]])</f>
        <v>0.28795579604891164</v>
      </c>
      <c r="T247" s="3">
        <f>IF(mlb_payrolls[[#This Row],[Total Payroll Allocations]]&gt;0,mlb_payrolls[[#This Row],[Retained]]/mlb_payrolls[[#This Row],[Total Payroll Allocations]])</f>
        <v>0.18655134847573862</v>
      </c>
      <c r="U247" s="3">
        <f>IF(mlb_payrolls[[#This Row],[Total Payroll Allocations]]&gt;0,mlb_payrolls[[#This Row],[Buried]]/mlb_payrolls[[#This Row],[Total Payroll Allocations]])</f>
        <v>1.3661584275026437E-2</v>
      </c>
      <c r="V247">
        <f>IF(mlb_payrolls[[#This Row],[Postseason]]="No Playoffs",0,1)</f>
        <v>0</v>
      </c>
    </row>
    <row r="248" spans="1:22" x14ac:dyDescent="0.3">
      <c r="A248" t="s">
        <v>67</v>
      </c>
      <c r="B248" t="s">
        <v>68</v>
      </c>
      <c r="C248">
        <v>2013</v>
      </c>
      <c r="D248">
        <v>29.3</v>
      </c>
      <c r="E248" s="1">
        <v>131771168</v>
      </c>
      <c r="F248" s="1">
        <v>118289792</v>
      </c>
      <c r="G248" s="1">
        <v>0</v>
      </c>
      <c r="H248" s="1">
        <v>5613565</v>
      </c>
      <c r="I248" s="1">
        <v>7867811</v>
      </c>
      <c r="J248">
        <v>74</v>
      </c>
      <c r="K248">
        <v>88</v>
      </c>
      <c r="L248" t="s">
        <v>14</v>
      </c>
      <c r="M248">
        <f>mlb_payrolls[[#This Row],[Wins]] + mlb_payrolls[[#This Row],[Losses]]</f>
        <v>162</v>
      </c>
      <c r="N248" s="2">
        <f>IF(mlb_payrolls[[#This Row],[Games]] &gt;0, mlb_payrolls[[#This Row],[Wins]]/mlb_payrolls[[#This Row],[Games]], "")</f>
        <v>0.4567901234567901</v>
      </c>
      <c r="O248" s="1">
        <f>IFERROR(VALUE(mlb_payrolls[[#This Row],[Total Payroll Allocations]])/VALUE(mlb_payrolls[[#This Row],[Wins]]),"")</f>
        <v>1780691.4594594594</v>
      </c>
      <c r="P248" s="1">
        <f>SUM(mlb_payrolls[[#This Row],[Active 26-Man]],mlb_payrolls[[#This Row],[Injured]],mlb_payrolls[[#This Row],[Retained]],mlb_payrolls[[#This Row],[Buried]])</f>
        <v>131771168</v>
      </c>
      <c r="Q248" s="1">
        <f>mlb_payrolls[[#This Row],[Total Payroll Allocations]]-mlb_payrolls[[#This Row],[Payroll Parts Sum]]</f>
        <v>0</v>
      </c>
      <c r="R248" s="2">
        <f>IF(mlb_payrolls[[#This Row],[Total Payroll Allocations]]&gt;0, mlb_payrolls[[#This Row],[Active 26-Man]]/mlb_payrolls[[#This Row],[Total Payroll Allocations]],"")</f>
        <v>0.89769100323979822</v>
      </c>
      <c r="S248" s="2">
        <f>IF(mlb_payrolls[[#This Row],[Total Payroll Allocations]]&gt;0,mlb_payrolls[[#This Row],[Injured]]/mlb_payrolls[[#This Row],[Total Payroll Allocations]])</f>
        <v>0</v>
      </c>
      <c r="T248" s="3">
        <f>IF(mlb_payrolls[[#This Row],[Total Payroll Allocations]]&gt;0,mlb_payrolls[[#This Row],[Retained]]/mlb_payrolls[[#This Row],[Total Payroll Allocations]])</f>
        <v>4.2600859392852922E-2</v>
      </c>
      <c r="U248" s="3">
        <f>IF(mlb_payrolls[[#This Row],[Total Payroll Allocations]]&gt;0,mlb_payrolls[[#This Row],[Buried]]/mlb_payrolls[[#This Row],[Total Payroll Allocations]])</f>
        <v>5.9708137367348826E-2</v>
      </c>
      <c r="V248">
        <f>IF(mlb_payrolls[[#This Row],[Postseason]]="No Playoffs",0,1)</f>
        <v>0</v>
      </c>
    </row>
    <row r="249" spans="1:22" x14ac:dyDescent="0.3">
      <c r="A249" t="s">
        <v>45</v>
      </c>
      <c r="B249" t="s">
        <v>46</v>
      </c>
      <c r="C249">
        <v>2015</v>
      </c>
      <c r="D249">
        <v>28.4</v>
      </c>
      <c r="E249" s="1">
        <v>132178951</v>
      </c>
      <c r="F249" s="1">
        <v>128814787</v>
      </c>
      <c r="G249" s="1">
        <v>3195000</v>
      </c>
      <c r="H249" s="1">
        <v>0</v>
      </c>
      <c r="I249" s="1">
        <v>169164</v>
      </c>
      <c r="J249">
        <v>100</v>
      </c>
      <c r="K249">
        <v>62</v>
      </c>
      <c r="L249" t="s">
        <v>24</v>
      </c>
      <c r="M249">
        <f>mlb_payrolls[[#This Row],[Wins]] + mlb_payrolls[[#This Row],[Losses]]</f>
        <v>162</v>
      </c>
      <c r="N249" s="2">
        <f>IF(mlb_payrolls[[#This Row],[Games]] &gt;0, mlb_payrolls[[#This Row],[Wins]]/mlb_payrolls[[#This Row],[Games]], "")</f>
        <v>0.61728395061728392</v>
      </c>
      <c r="O249" s="1">
        <f>IFERROR(VALUE(mlb_payrolls[[#This Row],[Total Payroll Allocations]])/VALUE(mlb_payrolls[[#This Row],[Wins]]),"")</f>
        <v>1321789.51</v>
      </c>
      <c r="P249" s="1">
        <f>SUM(mlb_payrolls[[#This Row],[Active 26-Man]],mlb_payrolls[[#This Row],[Injured]],mlb_payrolls[[#This Row],[Retained]],mlb_payrolls[[#This Row],[Buried]])</f>
        <v>132178951</v>
      </c>
      <c r="Q249" s="1">
        <f>mlb_payrolls[[#This Row],[Total Payroll Allocations]]-mlb_payrolls[[#This Row],[Payroll Parts Sum]]</f>
        <v>0</v>
      </c>
      <c r="R249" s="2">
        <f>IF(mlb_payrolls[[#This Row],[Total Payroll Allocations]]&gt;0, mlb_payrolls[[#This Row],[Active 26-Man]]/mlb_payrolls[[#This Row],[Total Payroll Allocations]],"")</f>
        <v>0.97454841353673627</v>
      </c>
      <c r="S249" s="2">
        <f>IF(mlb_payrolls[[#This Row],[Total Payroll Allocations]]&gt;0,mlb_payrolls[[#This Row],[Injured]]/mlb_payrolls[[#This Row],[Total Payroll Allocations]])</f>
        <v>2.4171776034143288E-2</v>
      </c>
      <c r="T249" s="3">
        <f>IF(mlb_payrolls[[#This Row],[Total Payroll Allocations]]&gt;0,mlb_payrolls[[#This Row],[Retained]]/mlb_payrolls[[#This Row],[Total Payroll Allocations]])</f>
        <v>0</v>
      </c>
      <c r="U249" s="3">
        <f>IF(mlb_payrolls[[#This Row],[Total Payroll Allocations]]&gt;0,mlb_payrolls[[#This Row],[Buried]]/mlb_payrolls[[#This Row],[Total Payroll Allocations]])</f>
        <v>1.2798104291204429E-3</v>
      </c>
      <c r="V249">
        <f>IF(mlb_payrolls[[#This Row],[Postseason]]="No Playoffs",0,1)</f>
        <v>1</v>
      </c>
    </row>
    <row r="250" spans="1:22" x14ac:dyDescent="0.3">
      <c r="A250" t="s">
        <v>22</v>
      </c>
      <c r="B250" t="s">
        <v>23</v>
      </c>
      <c r="C250">
        <v>2017</v>
      </c>
      <c r="D250">
        <v>27.9</v>
      </c>
      <c r="E250" s="1">
        <v>132258928</v>
      </c>
      <c r="F250" s="1">
        <v>116072319</v>
      </c>
      <c r="G250" s="1">
        <v>6129713</v>
      </c>
      <c r="H250" s="1">
        <v>10007205</v>
      </c>
      <c r="I250" s="1">
        <v>49691</v>
      </c>
      <c r="J250">
        <v>102</v>
      </c>
      <c r="K250">
        <v>60</v>
      </c>
      <c r="L250" t="s">
        <v>24</v>
      </c>
      <c r="M250">
        <f>mlb_payrolls[[#This Row],[Wins]] + mlb_payrolls[[#This Row],[Losses]]</f>
        <v>162</v>
      </c>
      <c r="N250" s="2">
        <f>IF(mlb_payrolls[[#This Row],[Games]] &gt;0, mlb_payrolls[[#This Row],[Wins]]/mlb_payrolls[[#This Row],[Games]], "")</f>
        <v>0.62962962962962965</v>
      </c>
      <c r="O250" s="1">
        <f>IFERROR(VALUE(mlb_payrolls[[#This Row],[Total Payroll Allocations]])/VALUE(mlb_payrolls[[#This Row],[Wins]]),"")</f>
        <v>1296656.1568627451</v>
      </c>
      <c r="P250" s="1">
        <f>SUM(mlb_payrolls[[#This Row],[Active 26-Man]],mlb_payrolls[[#This Row],[Injured]],mlb_payrolls[[#This Row],[Retained]],mlb_payrolls[[#This Row],[Buried]])</f>
        <v>132258928</v>
      </c>
      <c r="Q250" s="1">
        <f>mlb_payrolls[[#This Row],[Total Payroll Allocations]]-mlb_payrolls[[#This Row],[Payroll Parts Sum]]</f>
        <v>0</v>
      </c>
      <c r="R250" s="2">
        <f>IF(mlb_payrolls[[#This Row],[Total Payroll Allocations]]&gt;0, mlb_payrolls[[#This Row],[Active 26-Man]]/mlb_payrolls[[#This Row],[Total Payroll Allocations]],"")</f>
        <v>0.87761424317608261</v>
      </c>
      <c r="S250" s="2">
        <f>IF(mlb_payrolls[[#This Row],[Total Payroll Allocations]]&gt;0,mlb_payrolls[[#This Row],[Injured]]/mlb_payrolls[[#This Row],[Total Payroll Allocations]])</f>
        <v>4.6346307902934161E-2</v>
      </c>
      <c r="T250" s="3">
        <f>IF(mlb_payrolls[[#This Row],[Total Payroll Allocations]]&gt;0,mlb_payrolls[[#This Row],[Retained]]/mlb_payrolls[[#This Row],[Total Payroll Allocations]])</f>
        <v>7.5663738934886871E-2</v>
      </c>
      <c r="U250" s="3">
        <f>IF(mlb_payrolls[[#This Row],[Total Payroll Allocations]]&gt;0,mlb_payrolls[[#This Row],[Buried]]/mlb_payrolls[[#This Row],[Total Payroll Allocations]])</f>
        <v>3.7570998609636396E-4</v>
      </c>
      <c r="V250">
        <f>IF(mlb_payrolls[[#This Row],[Postseason]]="No Playoffs",0,1)</f>
        <v>1</v>
      </c>
    </row>
    <row r="251" spans="1:22" x14ac:dyDescent="0.3">
      <c r="A251" t="s">
        <v>69</v>
      </c>
      <c r="B251" t="s">
        <v>70</v>
      </c>
      <c r="C251">
        <v>2024</v>
      </c>
      <c r="D251">
        <v>26.1</v>
      </c>
      <c r="E251" s="1">
        <v>132497547</v>
      </c>
      <c r="F251" s="1">
        <v>74306691</v>
      </c>
      <c r="G251" s="1">
        <v>8284460</v>
      </c>
      <c r="H251" s="1">
        <v>46893796</v>
      </c>
      <c r="I251" s="1">
        <v>3012600</v>
      </c>
      <c r="J251">
        <v>41</v>
      </c>
      <c r="K251">
        <v>121</v>
      </c>
      <c r="L251" t="s">
        <v>14</v>
      </c>
      <c r="M251">
        <f>mlb_payrolls[[#This Row],[Wins]] + mlb_payrolls[[#This Row],[Losses]]</f>
        <v>162</v>
      </c>
      <c r="N251" s="2">
        <f>IF(mlb_payrolls[[#This Row],[Games]] &gt;0, mlb_payrolls[[#This Row],[Wins]]/mlb_payrolls[[#This Row],[Games]], "")</f>
        <v>0.25308641975308643</v>
      </c>
      <c r="O251" s="1">
        <f>IFERROR(VALUE(mlb_payrolls[[#This Row],[Total Payroll Allocations]])/VALUE(mlb_payrolls[[#This Row],[Wins]]),"")</f>
        <v>3231647.487804878</v>
      </c>
      <c r="P251" s="1">
        <f>SUM(mlb_payrolls[[#This Row],[Active 26-Man]],mlb_payrolls[[#This Row],[Injured]],mlb_payrolls[[#This Row],[Retained]],mlb_payrolls[[#This Row],[Buried]])</f>
        <v>132497547</v>
      </c>
      <c r="Q251" s="1">
        <f>mlb_payrolls[[#This Row],[Total Payroll Allocations]]-mlb_payrolls[[#This Row],[Payroll Parts Sum]]</f>
        <v>0</v>
      </c>
      <c r="R251" s="2">
        <f>IF(mlb_payrolls[[#This Row],[Total Payroll Allocations]]&gt;0, mlb_payrolls[[#This Row],[Active 26-Man]]/mlb_payrolls[[#This Row],[Total Payroll Allocations]],"")</f>
        <v>0.56081559758989352</v>
      </c>
      <c r="S251" s="2">
        <f>IF(mlb_payrolls[[#This Row],[Total Payroll Allocations]]&gt;0,mlb_payrolls[[#This Row],[Injured]]/mlb_payrolls[[#This Row],[Total Payroll Allocations]])</f>
        <v>6.2525383960504569E-2</v>
      </c>
      <c r="T251" s="3">
        <f>IF(mlb_payrolls[[#This Row],[Total Payroll Allocations]]&gt;0,mlb_payrolls[[#This Row],[Retained]]/mlb_payrolls[[#This Row],[Total Payroll Allocations]])</f>
        <v>0.35392199374075961</v>
      </c>
      <c r="U251" s="3">
        <f>IF(mlb_payrolls[[#This Row],[Total Payroll Allocations]]&gt;0,mlb_payrolls[[#This Row],[Buried]]/mlb_payrolls[[#This Row],[Total Payroll Allocations]])</f>
        <v>2.2737024708842344E-2</v>
      </c>
      <c r="V251">
        <f>IF(mlb_payrolls[[#This Row],[Postseason]]="No Playoffs",0,1)</f>
        <v>0</v>
      </c>
    </row>
    <row r="252" spans="1:22" x14ac:dyDescent="0.3">
      <c r="A252" t="s">
        <v>61</v>
      </c>
      <c r="B252" t="s">
        <v>62</v>
      </c>
      <c r="C252">
        <v>2015</v>
      </c>
      <c r="D252">
        <v>28.3</v>
      </c>
      <c r="E252" s="1">
        <v>132993810</v>
      </c>
      <c r="F252" s="1">
        <v>106652384</v>
      </c>
      <c r="G252" s="1">
        <v>1000000</v>
      </c>
      <c r="H252" s="1">
        <v>23656617</v>
      </c>
      <c r="I252" s="1">
        <v>1684809</v>
      </c>
      <c r="J252">
        <v>97</v>
      </c>
      <c r="K252">
        <v>65</v>
      </c>
      <c r="L252" t="s">
        <v>21</v>
      </c>
      <c r="M252">
        <f>mlb_payrolls[[#This Row],[Wins]] + mlb_payrolls[[#This Row],[Losses]]</f>
        <v>162</v>
      </c>
      <c r="N252" s="2">
        <f>IF(mlb_payrolls[[#This Row],[Games]] &gt;0, mlb_payrolls[[#This Row],[Wins]]/mlb_payrolls[[#This Row],[Games]], "")</f>
        <v>0.59876543209876543</v>
      </c>
      <c r="O252" s="1">
        <f>IFERROR(VALUE(mlb_payrolls[[#This Row],[Total Payroll Allocations]])/VALUE(mlb_payrolls[[#This Row],[Wins]]),"")</f>
        <v>1371070.206185567</v>
      </c>
      <c r="P252" s="1">
        <f>SUM(mlb_payrolls[[#This Row],[Active 26-Man]],mlb_payrolls[[#This Row],[Injured]],mlb_payrolls[[#This Row],[Retained]],mlb_payrolls[[#This Row],[Buried]])</f>
        <v>132993810</v>
      </c>
      <c r="Q252" s="1">
        <f>mlb_payrolls[[#This Row],[Total Payroll Allocations]]-mlb_payrolls[[#This Row],[Payroll Parts Sum]]</f>
        <v>0</v>
      </c>
      <c r="R252" s="2">
        <f>IF(mlb_payrolls[[#This Row],[Total Payroll Allocations]]&gt;0, mlb_payrolls[[#This Row],[Active 26-Man]]/mlb_payrolls[[#This Row],[Total Payroll Allocations]],"")</f>
        <v>0.80193494719791847</v>
      </c>
      <c r="S252" s="2">
        <f>IF(mlb_payrolls[[#This Row],[Total Payroll Allocations]]&gt;0,mlb_payrolls[[#This Row],[Injured]]/mlb_payrolls[[#This Row],[Total Payroll Allocations]])</f>
        <v>7.5191469437562546E-3</v>
      </c>
      <c r="T252" s="3">
        <f>IF(mlb_payrolls[[#This Row],[Total Payroll Allocations]]&gt;0,mlb_payrolls[[#This Row],[Retained]]/mlb_payrolls[[#This Row],[Total Payroll Allocations]])</f>
        <v>0.17787757941516225</v>
      </c>
      <c r="U252" s="3">
        <f>IF(mlb_payrolls[[#This Row],[Total Payroll Allocations]]&gt;0,mlb_payrolls[[#This Row],[Buried]]/mlb_payrolls[[#This Row],[Total Payroll Allocations]])</f>
        <v>1.2668326443163031E-2</v>
      </c>
      <c r="V252">
        <f>IF(mlb_payrolls[[#This Row],[Postseason]]="No Playoffs",0,1)</f>
        <v>1</v>
      </c>
    </row>
    <row r="253" spans="1:22" x14ac:dyDescent="0.3">
      <c r="A253" t="s">
        <v>19</v>
      </c>
      <c r="B253" t="s">
        <v>20</v>
      </c>
      <c r="C253">
        <v>2022</v>
      </c>
      <c r="D253">
        <v>27.5</v>
      </c>
      <c r="E253" s="1">
        <v>135112588</v>
      </c>
      <c r="F253" s="1">
        <v>105762860</v>
      </c>
      <c r="G253" s="1">
        <v>13017207</v>
      </c>
      <c r="H253" s="1">
        <v>15133063</v>
      </c>
      <c r="I253" s="1">
        <v>1199458</v>
      </c>
      <c r="J253">
        <v>66</v>
      </c>
      <c r="K253">
        <v>96</v>
      </c>
      <c r="L253" t="s">
        <v>14</v>
      </c>
      <c r="M253">
        <f>mlb_payrolls[[#This Row],[Wins]] + mlb_payrolls[[#This Row],[Losses]]</f>
        <v>162</v>
      </c>
      <c r="N253" s="2">
        <f>IF(mlb_payrolls[[#This Row],[Games]] &gt;0, mlb_payrolls[[#This Row],[Wins]]/mlb_payrolls[[#This Row],[Games]], "")</f>
        <v>0.40740740740740738</v>
      </c>
      <c r="O253" s="1">
        <f>IFERROR(VALUE(mlb_payrolls[[#This Row],[Total Payroll Allocations]])/VALUE(mlb_payrolls[[#This Row],[Wins]]),"")</f>
        <v>2047160.4242424243</v>
      </c>
      <c r="P253" s="1">
        <f>SUM(mlb_payrolls[[#This Row],[Active 26-Man]],mlb_payrolls[[#This Row],[Injured]],mlb_payrolls[[#This Row],[Retained]],mlb_payrolls[[#This Row],[Buried]])</f>
        <v>135112588</v>
      </c>
      <c r="Q253" s="1">
        <f>mlb_payrolls[[#This Row],[Total Payroll Allocations]]-mlb_payrolls[[#This Row],[Payroll Parts Sum]]</f>
        <v>0</v>
      </c>
      <c r="R253" s="2">
        <f>IF(mlb_payrolls[[#This Row],[Total Payroll Allocations]]&gt;0, mlb_payrolls[[#This Row],[Active 26-Man]]/mlb_payrolls[[#This Row],[Total Payroll Allocations]],"")</f>
        <v>0.78277576919775971</v>
      </c>
      <c r="S253" s="2">
        <f>IF(mlb_payrolls[[#This Row],[Total Payroll Allocations]]&gt;0,mlb_payrolls[[#This Row],[Injured]]/mlb_payrolls[[#This Row],[Total Payroll Allocations]])</f>
        <v>9.6343406581776078E-2</v>
      </c>
      <c r="T253" s="3">
        <f>IF(mlb_payrolls[[#This Row],[Total Payroll Allocations]]&gt;0,mlb_payrolls[[#This Row],[Retained]]/mlb_payrolls[[#This Row],[Total Payroll Allocations]])</f>
        <v>0.1120033538251817</v>
      </c>
      <c r="U253" s="3">
        <f>IF(mlb_payrolls[[#This Row],[Total Payroll Allocations]]&gt;0,mlb_payrolls[[#This Row],[Buried]]/mlb_payrolls[[#This Row],[Total Payroll Allocations]])</f>
        <v>8.8774703952824892E-3</v>
      </c>
      <c r="V253">
        <f>IF(mlb_payrolls[[#This Row],[Postseason]]="No Playoffs",0,1)</f>
        <v>0</v>
      </c>
    </row>
    <row r="254" spans="1:22" x14ac:dyDescent="0.3">
      <c r="A254" t="s">
        <v>63</v>
      </c>
      <c r="B254" t="s">
        <v>64</v>
      </c>
      <c r="C254">
        <v>2015</v>
      </c>
      <c r="D254">
        <v>27.6</v>
      </c>
      <c r="E254" s="1">
        <v>135285607</v>
      </c>
      <c r="F254" s="1">
        <v>111715876</v>
      </c>
      <c r="G254" s="1">
        <v>13135760</v>
      </c>
      <c r="H254" s="1">
        <v>10018970</v>
      </c>
      <c r="I254" s="1">
        <v>415001</v>
      </c>
      <c r="J254">
        <v>88</v>
      </c>
      <c r="K254">
        <v>74</v>
      </c>
      <c r="L254" t="s">
        <v>24</v>
      </c>
      <c r="M254">
        <f>mlb_payrolls[[#This Row],[Wins]] + mlb_payrolls[[#This Row],[Losses]]</f>
        <v>162</v>
      </c>
      <c r="N254" s="2">
        <f>IF(mlb_payrolls[[#This Row],[Games]] &gt;0, mlb_payrolls[[#This Row],[Wins]]/mlb_payrolls[[#This Row],[Games]], "")</f>
        <v>0.54320987654320985</v>
      </c>
      <c r="O254" s="1">
        <f>IFERROR(VALUE(mlb_payrolls[[#This Row],[Total Payroll Allocations]])/VALUE(mlb_payrolls[[#This Row],[Wins]]),"")</f>
        <v>1537336.4431818181</v>
      </c>
      <c r="P254" s="1">
        <f>SUM(mlb_payrolls[[#This Row],[Active 26-Man]],mlb_payrolls[[#This Row],[Injured]],mlb_payrolls[[#This Row],[Retained]],mlb_payrolls[[#This Row],[Buried]])</f>
        <v>135285607</v>
      </c>
      <c r="Q254" s="1">
        <f>mlb_payrolls[[#This Row],[Total Payroll Allocations]]-mlb_payrolls[[#This Row],[Payroll Parts Sum]]</f>
        <v>0</v>
      </c>
      <c r="R254" s="2">
        <f>IF(mlb_payrolls[[#This Row],[Total Payroll Allocations]]&gt;0, mlb_payrolls[[#This Row],[Active 26-Man]]/mlb_payrolls[[#This Row],[Total Payroll Allocations]],"")</f>
        <v>0.82577798538465363</v>
      </c>
      <c r="S254" s="2">
        <f>IF(mlb_payrolls[[#This Row],[Total Payroll Allocations]]&gt;0,mlb_payrolls[[#This Row],[Injured]]/mlb_payrolls[[#This Row],[Total Payroll Allocations]])</f>
        <v>9.7096507834717405E-2</v>
      </c>
      <c r="T254" s="3">
        <f>IF(mlb_payrolls[[#This Row],[Total Payroll Allocations]]&gt;0,mlb_payrolls[[#This Row],[Retained]]/mlb_payrolls[[#This Row],[Total Payroll Allocations]])</f>
        <v>7.4057915118790132E-2</v>
      </c>
      <c r="U254" s="3">
        <f>IF(mlb_payrolls[[#This Row],[Total Payroll Allocations]]&gt;0,mlb_payrolls[[#This Row],[Buried]]/mlb_payrolls[[#This Row],[Total Payroll Allocations]])</f>
        <v>3.067591661838794E-3</v>
      </c>
      <c r="V254">
        <f>IF(mlb_payrolls[[#This Row],[Postseason]]="No Playoffs",0,1)</f>
        <v>1</v>
      </c>
    </row>
    <row r="255" spans="1:22" x14ac:dyDescent="0.3">
      <c r="A255" t="s">
        <v>27</v>
      </c>
      <c r="B255" t="s">
        <v>28</v>
      </c>
      <c r="C255">
        <v>2019</v>
      </c>
      <c r="D255">
        <v>28.2</v>
      </c>
      <c r="E255" s="1">
        <v>135889019</v>
      </c>
      <c r="F255" s="1">
        <v>107189797</v>
      </c>
      <c r="G255" s="1">
        <v>8283400</v>
      </c>
      <c r="H255" s="1">
        <v>20248718</v>
      </c>
      <c r="I255" s="1">
        <v>167104</v>
      </c>
      <c r="J255">
        <v>89</v>
      </c>
      <c r="K255">
        <v>73</v>
      </c>
      <c r="L255" t="s">
        <v>21</v>
      </c>
      <c r="M255">
        <f>mlb_payrolls[[#This Row],[Wins]] + mlb_payrolls[[#This Row],[Losses]]</f>
        <v>162</v>
      </c>
      <c r="N255" s="2">
        <f>IF(mlb_payrolls[[#This Row],[Games]] &gt;0, mlb_payrolls[[#This Row],[Wins]]/mlb_payrolls[[#This Row],[Games]], "")</f>
        <v>0.54938271604938271</v>
      </c>
      <c r="O255" s="1">
        <f>IFERROR(VALUE(mlb_payrolls[[#This Row],[Total Payroll Allocations]])/VALUE(mlb_payrolls[[#This Row],[Wins]]),"")</f>
        <v>1526842.9101123596</v>
      </c>
      <c r="P255" s="1">
        <f>SUM(mlb_payrolls[[#This Row],[Active 26-Man]],mlb_payrolls[[#This Row],[Injured]],mlb_payrolls[[#This Row],[Retained]],mlb_payrolls[[#This Row],[Buried]])</f>
        <v>135889019</v>
      </c>
      <c r="Q255" s="1">
        <f>mlb_payrolls[[#This Row],[Total Payroll Allocations]]-mlb_payrolls[[#This Row],[Payroll Parts Sum]]</f>
        <v>0</v>
      </c>
      <c r="R255" s="2">
        <f>IF(mlb_payrolls[[#This Row],[Total Payroll Allocations]]&gt;0, mlb_payrolls[[#This Row],[Active 26-Man]]/mlb_payrolls[[#This Row],[Total Payroll Allocations]],"")</f>
        <v>0.78880396509448636</v>
      </c>
      <c r="S255" s="2">
        <f>IF(mlb_payrolls[[#This Row],[Total Payroll Allocations]]&gt;0,mlb_payrolls[[#This Row],[Injured]]/mlb_payrolls[[#This Row],[Total Payroll Allocations]])</f>
        <v>6.0957096172723123E-2</v>
      </c>
      <c r="T255" s="3">
        <f>IF(mlb_payrolls[[#This Row],[Total Payroll Allocations]]&gt;0,mlb_payrolls[[#This Row],[Retained]]/mlb_payrolls[[#This Row],[Total Payroll Allocations]])</f>
        <v>0.14900922936238137</v>
      </c>
      <c r="U255" s="3">
        <f>IF(mlb_payrolls[[#This Row],[Total Payroll Allocations]]&gt;0,mlb_payrolls[[#This Row],[Buried]]/mlb_payrolls[[#This Row],[Total Payroll Allocations]])</f>
        <v>1.2297093704090984E-3</v>
      </c>
      <c r="V255">
        <f>IF(mlb_payrolls[[#This Row],[Postseason]]="No Playoffs",0,1)</f>
        <v>1</v>
      </c>
    </row>
    <row r="256" spans="1:22" x14ac:dyDescent="0.3">
      <c r="A256" t="s">
        <v>53</v>
      </c>
      <c r="B256" t="s">
        <v>54</v>
      </c>
      <c r="C256">
        <v>2012</v>
      </c>
      <c r="D256">
        <v>29</v>
      </c>
      <c r="E256" s="1">
        <v>137043205</v>
      </c>
      <c r="F256" s="1">
        <v>122345338</v>
      </c>
      <c r="G256" s="1">
        <v>0</v>
      </c>
      <c r="H256" s="1">
        <v>14697867</v>
      </c>
      <c r="I256" s="1">
        <v>0</v>
      </c>
      <c r="J256">
        <v>94</v>
      </c>
      <c r="K256">
        <v>68</v>
      </c>
      <c r="L256" t="s">
        <v>24</v>
      </c>
      <c r="M256">
        <f>mlb_payrolls[[#This Row],[Wins]] + mlb_payrolls[[#This Row],[Losses]]</f>
        <v>162</v>
      </c>
      <c r="N256" s="2">
        <f>IF(mlb_payrolls[[#This Row],[Games]] &gt;0, mlb_payrolls[[#This Row],[Wins]]/mlb_payrolls[[#This Row],[Games]], "")</f>
        <v>0.58024691358024694</v>
      </c>
      <c r="O256" s="1">
        <f>IFERROR(VALUE(mlb_payrolls[[#This Row],[Total Payroll Allocations]])/VALUE(mlb_payrolls[[#This Row],[Wins]]),"")</f>
        <v>1457906.4361702127</v>
      </c>
      <c r="P256" s="1">
        <f>SUM(mlb_payrolls[[#This Row],[Active 26-Man]],mlb_payrolls[[#This Row],[Injured]],mlb_payrolls[[#This Row],[Retained]],mlb_payrolls[[#This Row],[Buried]])</f>
        <v>137043205</v>
      </c>
      <c r="Q256" s="1">
        <f>mlb_payrolls[[#This Row],[Total Payroll Allocations]]-mlb_payrolls[[#This Row],[Payroll Parts Sum]]</f>
        <v>0</v>
      </c>
      <c r="R256" s="2">
        <f>IF(mlb_payrolls[[#This Row],[Total Payroll Allocations]]&gt;0, mlb_payrolls[[#This Row],[Active 26-Man]]/mlb_payrolls[[#This Row],[Total Payroll Allocations]],"")</f>
        <v>0.89275012212389515</v>
      </c>
      <c r="S256" s="2">
        <f>IF(mlb_payrolls[[#This Row],[Total Payroll Allocations]]&gt;0,mlb_payrolls[[#This Row],[Injured]]/mlb_payrolls[[#This Row],[Total Payroll Allocations]])</f>
        <v>0</v>
      </c>
      <c r="T256" s="3">
        <f>IF(mlb_payrolls[[#This Row],[Total Payroll Allocations]]&gt;0,mlb_payrolls[[#This Row],[Retained]]/mlb_payrolls[[#This Row],[Total Payroll Allocations]])</f>
        <v>0.10724987787610483</v>
      </c>
      <c r="U256" s="3">
        <f>IF(mlb_payrolls[[#This Row],[Total Payroll Allocations]]&gt;0,mlb_payrolls[[#This Row],[Buried]]/mlb_payrolls[[#This Row],[Total Payroll Allocations]])</f>
        <v>0</v>
      </c>
      <c r="V256">
        <f>IF(mlb_payrolls[[#This Row],[Postseason]]="No Playoffs",0,1)</f>
        <v>1</v>
      </c>
    </row>
    <row r="257" spans="1:22" x14ac:dyDescent="0.3">
      <c r="A257" t="s">
        <v>61</v>
      </c>
      <c r="B257" t="s">
        <v>62</v>
      </c>
      <c r="C257">
        <v>2011</v>
      </c>
      <c r="D257">
        <v>28.1</v>
      </c>
      <c r="E257" s="1">
        <v>137666584</v>
      </c>
      <c r="F257" s="1">
        <v>123941584</v>
      </c>
      <c r="G257" s="1">
        <v>0</v>
      </c>
      <c r="H257" s="1">
        <v>13725000</v>
      </c>
      <c r="I257" s="1">
        <v>0</v>
      </c>
      <c r="J257">
        <v>71</v>
      </c>
      <c r="K257">
        <v>91</v>
      </c>
      <c r="L257" t="s">
        <v>14</v>
      </c>
      <c r="M257">
        <f>mlb_payrolls[[#This Row],[Wins]] + mlb_payrolls[[#This Row],[Losses]]</f>
        <v>162</v>
      </c>
      <c r="N257" s="2">
        <f>IF(mlb_payrolls[[#This Row],[Games]] &gt;0, mlb_payrolls[[#This Row],[Wins]]/mlb_payrolls[[#This Row],[Games]], "")</f>
        <v>0.43827160493827161</v>
      </c>
      <c r="O257" s="1">
        <f>IFERROR(VALUE(mlb_payrolls[[#This Row],[Total Payroll Allocations]])/VALUE(mlb_payrolls[[#This Row],[Wins]]),"")</f>
        <v>1938965.971830986</v>
      </c>
      <c r="P257" s="1">
        <f>SUM(mlb_payrolls[[#This Row],[Active 26-Man]],mlb_payrolls[[#This Row],[Injured]],mlb_payrolls[[#This Row],[Retained]],mlb_payrolls[[#This Row],[Buried]])</f>
        <v>137666584</v>
      </c>
      <c r="Q257" s="1">
        <f>mlb_payrolls[[#This Row],[Total Payroll Allocations]]-mlb_payrolls[[#This Row],[Payroll Parts Sum]]</f>
        <v>0</v>
      </c>
      <c r="R257" s="2">
        <f>IF(mlb_payrolls[[#This Row],[Total Payroll Allocations]]&gt;0, mlb_payrolls[[#This Row],[Active 26-Man]]/mlb_payrolls[[#This Row],[Total Payroll Allocations]],"")</f>
        <v>0.90030260357153924</v>
      </c>
      <c r="S257" s="2">
        <f>IF(mlb_payrolls[[#This Row],[Total Payroll Allocations]]&gt;0,mlb_payrolls[[#This Row],[Injured]]/mlb_payrolls[[#This Row],[Total Payroll Allocations]])</f>
        <v>0</v>
      </c>
      <c r="T257" s="3">
        <f>IF(mlb_payrolls[[#This Row],[Total Payroll Allocations]]&gt;0,mlb_payrolls[[#This Row],[Retained]]/mlb_payrolls[[#This Row],[Total Payroll Allocations]])</f>
        <v>9.9697396428460816E-2</v>
      </c>
      <c r="U257" s="3">
        <f>IF(mlb_payrolls[[#This Row],[Total Payroll Allocations]]&gt;0,mlb_payrolls[[#This Row],[Buried]]/mlb_payrolls[[#This Row],[Total Payroll Allocations]])</f>
        <v>0</v>
      </c>
      <c r="V257">
        <f>IF(mlb_payrolls[[#This Row],[Postseason]]="No Playoffs",0,1)</f>
        <v>0</v>
      </c>
    </row>
    <row r="258" spans="1:22" x14ac:dyDescent="0.3">
      <c r="A258" t="s">
        <v>63</v>
      </c>
      <c r="B258" t="s">
        <v>64</v>
      </c>
      <c r="C258">
        <v>2013</v>
      </c>
      <c r="D258">
        <v>28.5</v>
      </c>
      <c r="E258" s="1">
        <v>137937146</v>
      </c>
      <c r="F258" s="1">
        <v>124162497</v>
      </c>
      <c r="G258" s="1">
        <v>465901</v>
      </c>
      <c r="H258" s="1">
        <v>13104000</v>
      </c>
      <c r="I258" s="1">
        <v>204748</v>
      </c>
      <c r="J258">
        <v>91</v>
      </c>
      <c r="K258">
        <v>72</v>
      </c>
      <c r="L258" t="s">
        <v>14</v>
      </c>
      <c r="M258">
        <f>mlb_payrolls[[#This Row],[Wins]] + mlb_payrolls[[#This Row],[Losses]]</f>
        <v>163</v>
      </c>
      <c r="N258" s="2">
        <f>IF(mlb_payrolls[[#This Row],[Games]] &gt;0, mlb_payrolls[[#This Row],[Wins]]/mlb_payrolls[[#This Row],[Games]], "")</f>
        <v>0.55828220858895705</v>
      </c>
      <c r="O258" s="1">
        <f>IFERROR(VALUE(mlb_payrolls[[#This Row],[Total Payroll Allocations]])/VALUE(mlb_payrolls[[#This Row],[Wins]]),"")</f>
        <v>1515792.8131868131</v>
      </c>
      <c r="P258" s="1">
        <f>SUM(mlb_payrolls[[#This Row],[Active 26-Man]],mlb_payrolls[[#This Row],[Injured]],mlb_payrolls[[#This Row],[Retained]],mlb_payrolls[[#This Row],[Buried]])</f>
        <v>137937146</v>
      </c>
      <c r="Q258" s="1">
        <f>mlb_payrolls[[#This Row],[Total Payroll Allocations]]-mlb_payrolls[[#This Row],[Payroll Parts Sum]]</f>
        <v>0</v>
      </c>
      <c r="R258" s="2">
        <f>IF(mlb_payrolls[[#This Row],[Total Payroll Allocations]]&gt;0, mlb_payrolls[[#This Row],[Active 26-Man]]/mlb_payrolls[[#This Row],[Total Payroll Allocations]],"")</f>
        <v>0.90013821947570238</v>
      </c>
      <c r="S258" s="2">
        <f>IF(mlb_payrolls[[#This Row],[Total Payroll Allocations]]&gt;0,mlb_payrolls[[#This Row],[Injured]]/mlb_payrolls[[#This Row],[Total Payroll Allocations]])</f>
        <v>3.3776325921662902E-3</v>
      </c>
      <c r="T258" s="3">
        <f>IF(mlb_payrolls[[#This Row],[Total Payroll Allocations]]&gt;0,mlb_payrolls[[#This Row],[Retained]]/mlb_payrolls[[#This Row],[Total Payroll Allocations]])</f>
        <v>9.4999790701773695E-2</v>
      </c>
      <c r="U258" s="3">
        <f>IF(mlb_payrolls[[#This Row],[Total Payroll Allocations]]&gt;0,mlb_payrolls[[#This Row],[Buried]]/mlb_payrolls[[#This Row],[Total Payroll Allocations]])</f>
        <v>1.4843572303576587E-3</v>
      </c>
      <c r="V258">
        <f>IF(mlb_payrolls[[#This Row],[Postseason]]="No Playoffs",0,1)</f>
        <v>0</v>
      </c>
    </row>
    <row r="259" spans="1:22" x14ac:dyDescent="0.3">
      <c r="A259" t="s">
        <v>67</v>
      </c>
      <c r="B259" t="s">
        <v>68</v>
      </c>
      <c r="C259">
        <v>2015</v>
      </c>
      <c r="D259">
        <v>29.4</v>
      </c>
      <c r="E259" s="1">
        <v>138309664</v>
      </c>
      <c r="F259" s="1">
        <v>106426104</v>
      </c>
      <c r="G259" s="1">
        <v>6382500</v>
      </c>
      <c r="H259" s="1">
        <v>25214964</v>
      </c>
      <c r="I259" s="1">
        <v>286096</v>
      </c>
      <c r="J259">
        <v>93</v>
      </c>
      <c r="K259">
        <v>69</v>
      </c>
      <c r="L259" t="s">
        <v>24</v>
      </c>
      <c r="M259">
        <f>mlb_payrolls[[#This Row],[Wins]] + mlb_payrolls[[#This Row],[Losses]]</f>
        <v>162</v>
      </c>
      <c r="N259" s="2">
        <f>IF(mlb_payrolls[[#This Row],[Games]] &gt;0, mlb_payrolls[[#This Row],[Wins]]/mlb_payrolls[[#This Row],[Games]], "")</f>
        <v>0.57407407407407407</v>
      </c>
      <c r="O259" s="1">
        <f>IFERROR(VALUE(mlb_payrolls[[#This Row],[Total Payroll Allocations]])/VALUE(mlb_payrolls[[#This Row],[Wins]]),"")</f>
        <v>1487200.6881720431</v>
      </c>
      <c r="P259" s="1">
        <f>SUM(mlb_payrolls[[#This Row],[Active 26-Man]],mlb_payrolls[[#This Row],[Injured]],mlb_payrolls[[#This Row],[Retained]],mlb_payrolls[[#This Row],[Buried]])</f>
        <v>138309664</v>
      </c>
      <c r="Q259" s="1">
        <f>mlb_payrolls[[#This Row],[Total Payroll Allocations]]-mlb_payrolls[[#This Row],[Payroll Parts Sum]]</f>
        <v>0</v>
      </c>
      <c r="R259" s="2">
        <f>IF(mlb_payrolls[[#This Row],[Total Payroll Allocations]]&gt;0, mlb_payrolls[[#This Row],[Active 26-Man]]/mlb_payrolls[[#This Row],[Total Payroll Allocations]],"")</f>
        <v>0.76947699041478401</v>
      </c>
      <c r="S259" s="2">
        <f>IF(mlb_payrolls[[#This Row],[Total Payroll Allocations]]&gt;0,mlb_payrolls[[#This Row],[Injured]]/mlb_payrolls[[#This Row],[Total Payroll Allocations]])</f>
        <v>4.6146450041263928E-2</v>
      </c>
      <c r="T259" s="3">
        <f>IF(mlb_payrolls[[#This Row],[Total Payroll Allocations]]&gt;0,mlb_payrolls[[#This Row],[Retained]]/mlb_payrolls[[#This Row],[Total Payroll Allocations]])</f>
        <v>0.18230804175766055</v>
      </c>
      <c r="U259" s="3">
        <f>IF(mlb_payrolls[[#This Row],[Total Payroll Allocations]]&gt;0,mlb_payrolls[[#This Row],[Buried]]/mlb_payrolls[[#This Row],[Total Payroll Allocations]])</f>
        <v>2.0685177862914917E-3</v>
      </c>
      <c r="V259">
        <f>IF(mlb_payrolls[[#This Row],[Postseason]]="No Playoffs",0,1)</f>
        <v>1</v>
      </c>
    </row>
    <row r="260" spans="1:22" x14ac:dyDescent="0.3">
      <c r="A260" t="s">
        <v>63</v>
      </c>
      <c r="B260" t="s">
        <v>64</v>
      </c>
      <c r="C260">
        <v>2012</v>
      </c>
      <c r="D260">
        <v>27.4</v>
      </c>
      <c r="E260" s="1">
        <v>138312903</v>
      </c>
      <c r="F260" s="1">
        <v>135062903</v>
      </c>
      <c r="G260" s="1">
        <v>0</v>
      </c>
      <c r="H260" s="1">
        <v>3250000</v>
      </c>
      <c r="I260" s="1">
        <v>0</v>
      </c>
      <c r="J260">
        <v>93</v>
      </c>
      <c r="K260">
        <v>69</v>
      </c>
      <c r="L260" t="s">
        <v>21</v>
      </c>
      <c r="M260">
        <f>mlb_payrolls[[#This Row],[Wins]] + mlb_payrolls[[#This Row],[Losses]]</f>
        <v>162</v>
      </c>
      <c r="N260" s="2">
        <f>IF(mlb_payrolls[[#This Row],[Games]] &gt;0, mlb_payrolls[[#This Row],[Wins]]/mlb_payrolls[[#This Row],[Games]], "")</f>
        <v>0.57407407407407407</v>
      </c>
      <c r="O260" s="1">
        <f>IFERROR(VALUE(mlb_payrolls[[#This Row],[Total Payroll Allocations]])/VALUE(mlb_payrolls[[#This Row],[Wins]]),"")</f>
        <v>1487235.5161290322</v>
      </c>
      <c r="P260" s="1">
        <f>SUM(mlb_payrolls[[#This Row],[Active 26-Man]],mlb_payrolls[[#This Row],[Injured]],mlb_payrolls[[#This Row],[Retained]],mlb_payrolls[[#This Row],[Buried]])</f>
        <v>138312903</v>
      </c>
      <c r="Q260" s="1">
        <f>mlb_payrolls[[#This Row],[Total Payroll Allocations]]-mlb_payrolls[[#This Row],[Payroll Parts Sum]]</f>
        <v>0</v>
      </c>
      <c r="R260" s="2">
        <f>IF(mlb_payrolls[[#This Row],[Total Payroll Allocations]]&gt;0, mlb_payrolls[[#This Row],[Active 26-Man]]/mlb_payrolls[[#This Row],[Total Payroll Allocations]],"")</f>
        <v>0.97650255377837014</v>
      </c>
      <c r="S260" s="2">
        <f>IF(mlb_payrolls[[#This Row],[Total Payroll Allocations]]&gt;0,mlb_payrolls[[#This Row],[Injured]]/mlb_payrolls[[#This Row],[Total Payroll Allocations]])</f>
        <v>0</v>
      </c>
      <c r="T260" s="3">
        <f>IF(mlb_payrolls[[#This Row],[Total Payroll Allocations]]&gt;0,mlb_payrolls[[#This Row],[Retained]]/mlb_payrolls[[#This Row],[Total Payroll Allocations]])</f>
        <v>2.3497446221629806E-2</v>
      </c>
      <c r="U260" s="3">
        <f>IF(mlb_payrolls[[#This Row],[Total Payroll Allocations]]&gt;0,mlb_payrolls[[#This Row],[Buried]]/mlb_payrolls[[#This Row],[Total Payroll Allocations]])</f>
        <v>0</v>
      </c>
      <c r="V260">
        <f>IF(mlb_payrolls[[#This Row],[Postseason]]="No Playoffs",0,1)</f>
        <v>1</v>
      </c>
    </row>
    <row r="261" spans="1:22" x14ac:dyDescent="0.3">
      <c r="A261" t="s">
        <v>65</v>
      </c>
      <c r="B261" t="s">
        <v>66</v>
      </c>
      <c r="C261">
        <v>2017</v>
      </c>
      <c r="D261">
        <v>28.1</v>
      </c>
      <c r="E261" s="1">
        <v>138344211</v>
      </c>
      <c r="F261" s="1">
        <v>128445916</v>
      </c>
      <c r="G261" s="1">
        <v>835843</v>
      </c>
      <c r="H261" s="1">
        <v>3284838</v>
      </c>
      <c r="I261" s="1">
        <v>2052614</v>
      </c>
      <c r="J261">
        <v>101</v>
      </c>
      <c r="K261">
        <v>61</v>
      </c>
      <c r="L261" t="s">
        <v>24</v>
      </c>
      <c r="M261">
        <f>mlb_payrolls[[#This Row],[Wins]] + mlb_payrolls[[#This Row],[Losses]]</f>
        <v>162</v>
      </c>
      <c r="N261" s="2">
        <f>IF(mlb_payrolls[[#This Row],[Games]] &gt;0, mlb_payrolls[[#This Row],[Wins]]/mlb_payrolls[[#This Row],[Games]], "")</f>
        <v>0.62345679012345678</v>
      </c>
      <c r="O261" s="1">
        <f>IFERROR(VALUE(mlb_payrolls[[#This Row],[Total Payroll Allocations]])/VALUE(mlb_payrolls[[#This Row],[Wins]]),"")</f>
        <v>1369744.6633663366</v>
      </c>
      <c r="P261" s="1">
        <f>SUM(mlb_payrolls[[#This Row],[Active 26-Man]],mlb_payrolls[[#This Row],[Injured]],mlb_payrolls[[#This Row],[Retained]],mlb_payrolls[[#This Row],[Buried]])</f>
        <v>134619211</v>
      </c>
      <c r="Q261" s="1">
        <f>mlb_payrolls[[#This Row],[Total Payroll Allocations]]-mlb_payrolls[[#This Row],[Payroll Parts Sum]]</f>
        <v>3725000</v>
      </c>
      <c r="R261" s="2">
        <f>IF(mlb_payrolls[[#This Row],[Total Payroll Allocations]]&gt;0, mlb_payrolls[[#This Row],[Active 26-Man]]/mlb_payrolls[[#This Row],[Total Payroll Allocations]],"")</f>
        <v>0.92845168635209463</v>
      </c>
      <c r="S261" s="2">
        <f>IF(mlb_payrolls[[#This Row],[Total Payroll Allocations]]&gt;0,mlb_payrolls[[#This Row],[Injured]]/mlb_payrolls[[#This Row],[Total Payroll Allocations]])</f>
        <v>6.0417634677897725E-3</v>
      </c>
      <c r="T261" s="3">
        <f>IF(mlb_payrolls[[#This Row],[Total Payroll Allocations]]&gt;0,mlb_payrolls[[#This Row],[Retained]]/mlb_payrolls[[#This Row],[Total Payroll Allocations]])</f>
        <v>2.3743949792015513E-2</v>
      </c>
      <c r="U261" s="3">
        <f>IF(mlb_payrolls[[#This Row],[Total Payroll Allocations]]&gt;0,mlb_payrolls[[#This Row],[Buried]]/mlb_payrolls[[#This Row],[Total Payroll Allocations]])</f>
        <v>1.4837006804715521E-2</v>
      </c>
      <c r="V261">
        <f>IF(mlb_payrolls[[#This Row],[Postseason]]="No Playoffs",0,1)</f>
        <v>1</v>
      </c>
    </row>
    <row r="262" spans="1:22" x14ac:dyDescent="0.3">
      <c r="A262" t="s">
        <v>49</v>
      </c>
      <c r="B262" t="s">
        <v>50</v>
      </c>
      <c r="C262">
        <v>2017</v>
      </c>
      <c r="D262">
        <v>27.3</v>
      </c>
      <c r="E262" s="1">
        <v>139499341</v>
      </c>
      <c r="F262" s="1">
        <v>108379084</v>
      </c>
      <c r="G262" s="1">
        <v>0</v>
      </c>
      <c r="H262" s="1">
        <v>30443391</v>
      </c>
      <c r="I262" s="1">
        <v>676866</v>
      </c>
      <c r="J262">
        <v>87</v>
      </c>
      <c r="K262">
        <v>75</v>
      </c>
      <c r="L262" t="s">
        <v>21</v>
      </c>
      <c r="M262">
        <f>mlb_payrolls[[#This Row],[Wins]] + mlb_payrolls[[#This Row],[Losses]]</f>
        <v>162</v>
      </c>
      <c r="N262" s="2">
        <f>IF(mlb_payrolls[[#This Row],[Games]] &gt;0, mlb_payrolls[[#This Row],[Wins]]/mlb_payrolls[[#This Row],[Games]], "")</f>
        <v>0.53703703703703709</v>
      </c>
      <c r="O262" s="1">
        <f>IFERROR(VALUE(mlb_payrolls[[#This Row],[Total Payroll Allocations]])/VALUE(mlb_payrolls[[#This Row],[Wins]]),"")</f>
        <v>1603440.7011494252</v>
      </c>
      <c r="P262" s="1">
        <f>SUM(mlb_payrolls[[#This Row],[Active 26-Man]],mlb_payrolls[[#This Row],[Injured]],mlb_payrolls[[#This Row],[Retained]],mlb_payrolls[[#This Row],[Buried]])</f>
        <v>139499341</v>
      </c>
      <c r="Q262" s="1">
        <f>mlb_payrolls[[#This Row],[Total Payroll Allocations]]-mlb_payrolls[[#This Row],[Payroll Parts Sum]]</f>
        <v>0</v>
      </c>
      <c r="R262" s="2">
        <f>IF(mlb_payrolls[[#This Row],[Total Payroll Allocations]]&gt;0, mlb_payrolls[[#This Row],[Active 26-Man]]/mlb_payrolls[[#This Row],[Total Payroll Allocations]],"")</f>
        <v>0.77691466657179409</v>
      </c>
      <c r="S262" s="2">
        <f>IF(mlb_payrolls[[#This Row],[Total Payroll Allocations]]&gt;0,mlb_payrolls[[#This Row],[Injured]]/mlb_payrolls[[#This Row],[Total Payroll Allocations]])</f>
        <v>0</v>
      </c>
      <c r="T262" s="3">
        <f>IF(mlb_payrolls[[#This Row],[Total Payroll Allocations]]&gt;0,mlb_payrolls[[#This Row],[Retained]]/mlb_payrolls[[#This Row],[Total Payroll Allocations]])</f>
        <v>0.21823322448526836</v>
      </c>
      <c r="U262" s="3">
        <f>IF(mlb_payrolls[[#This Row],[Total Payroll Allocations]]&gt;0,mlb_payrolls[[#This Row],[Buried]]/mlb_payrolls[[#This Row],[Total Payroll Allocations]])</f>
        <v>4.8521089429375873E-3</v>
      </c>
      <c r="V262">
        <f>IF(mlb_payrolls[[#This Row],[Postseason]]="No Playoffs",0,1)</f>
        <v>1</v>
      </c>
    </row>
    <row r="263" spans="1:22" x14ac:dyDescent="0.3">
      <c r="A263" t="s">
        <v>33</v>
      </c>
      <c r="B263" t="s">
        <v>34</v>
      </c>
      <c r="C263">
        <v>2016</v>
      </c>
      <c r="D263">
        <v>28.5</v>
      </c>
      <c r="E263" s="1">
        <v>139583852</v>
      </c>
      <c r="F263" s="1">
        <v>119416458</v>
      </c>
      <c r="G263" s="1">
        <v>5869400</v>
      </c>
      <c r="H263" s="1">
        <v>14207786</v>
      </c>
      <c r="I263" s="1">
        <v>90208</v>
      </c>
      <c r="J263">
        <v>95</v>
      </c>
      <c r="K263">
        <v>67</v>
      </c>
      <c r="L263" t="s">
        <v>24</v>
      </c>
      <c r="M263">
        <f>mlb_payrolls[[#This Row],[Wins]] + mlb_payrolls[[#This Row],[Losses]]</f>
        <v>162</v>
      </c>
      <c r="N263" s="2">
        <f>IF(mlb_payrolls[[#This Row],[Games]] &gt;0, mlb_payrolls[[#This Row],[Wins]]/mlb_payrolls[[#This Row],[Games]], "")</f>
        <v>0.5864197530864198</v>
      </c>
      <c r="O263" s="1">
        <f>IFERROR(VALUE(mlb_payrolls[[#This Row],[Total Payroll Allocations]])/VALUE(mlb_payrolls[[#This Row],[Wins]]),"")</f>
        <v>1469303.7052631578</v>
      </c>
      <c r="P263" s="1">
        <f>SUM(mlb_payrolls[[#This Row],[Active 26-Man]],mlb_payrolls[[#This Row],[Injured]],mlb_payrolls[[#This Row],[Retained]],mlb_payrolls[[#This Row],[Buried]])</f>
        <v>139583852</v>
      </c>
      <c r="Q263" s="1">
        <f>mlb_payrolls[[#This Row],[Total Payroll Allocations]]-mlb_payrolls[[#This Row],[Payroll Parts Sum]]</f>
        <v>0</v>
      </c>
      <c r="R263" s="2">
        <f>IF(mlb_payrolls[[#This Row],[Total Payroll Allocations]]&gt;0, mlb_payrolls[[#This Row],[Active 26-Man]]/mlb_payrolls[[#This Row],[Total Payroll Allocations]],"")</f>
        <v>0.85551771418372946</v>
      </c>
      <c r="S263" s="2">
        <f>IF(mlb_payrolls[[#This Row],[Total Payroll Allocations]]&gt;0,mlb_payrolls[[#This Row],[Injured]]/mlb_payrolls[[#This Row],[Total Payroll Allocations]])</f>
        <v>4.2049276588240307E-2</v>
      </c>
      <c r="T263" s="3">
        <f>IF(mlb_payrolls[[#This Row],[Total Payroll Allocations]]&gt;0,mlb_payrolls[[#This Row],[Retained]]/mlb_payrolls[[#This Row],[Total Payroll Allocations]])</f>
        <v>0.10178674536077426</v>
      </c>
      <c r="U263" s="3">
        <f>IF(mlb_payrolls[[#This Row],[Total Payroll Allocations]]&gt;0,mlb_payrolls[[#This Row],[Buried]]/mlb_payrolls[[#This Row],[Total Payroll Allocations]])</f>
        <v>6.462638672559345E-4</v>
      </c>
      <c r="V263">
        <f>IF(mlb_payrolls[[#This Row],[Postseason]]="No Playoffs",0,1)</f>
        <v>1</v>
      </c>
    </row>
    <row r="264" spans="1:22" x14ac:dyDescent="0.3">
      <c r="A264" t="s">
        <v>49</v>
      </c>
      <c r="B264" t="s">
        <v>50</v>
      </c>
      <c r="C264">
        <v>2022</v>
      </c>
      <c r="D264">
        <v>27.7</v>
      </c>
      <c r="E264" s="1">
        <v>140012218</v>
      </c>
      <c r="F264" s="1">
        <v>66960029</v>
      </c>
      <c r="G264" s="1">
        <v>64172808</v>
      </c>
      <c r="H264" s="1">
        <v>7833905</v>
      </c>
      <c r="I264" s="1">
        <v>1045476</v>
      </c>
      <c r="J264">
        <v>68</v>
      </c>
      <c r="K264">
        <v>94</v>
      </c>
      <c r="L264" t="s">
        <v>14</v>
      </c>
      <c r="M264">
        <f>mlb_payrolls[[#This Row],[Wins]] + mlb_payrolls[[#This Row],[Losses]]</f>
        <v>162</v>
      </c>
      <c r="N264" s="2">
        <f>IF(mlb_payrolls[[#This Row],[Games]] &gt;0, mlb_payrolls[[#This Row],[Wins]]/mlb_payrolls[[#This Row],[Games]], "")</f>
        <v>0.41975308641975306</v>
      </c>
      <c r="O264" s="1">
        <f>IFERROR(VALUE(mlb_payrolls[[#This Row],[Total Payroll Allocations]])/VALUE(mlb_payrolls[[#This Row],[Wins]]),"")</f>
        <v>2059003.205882353</v>
      </c>
      <c r="P264" s="1">
        <f>SUM(mlb_payrolls[[#This Row],[Active 26-Man]],mlb_payrolls[[#This Row],[Injured]],mlb_payrolls[[#This Row],[Retained]],mlb_payrolls[[#This Row],[Buried]])</f>
        <v>140012218</v>
      </c>
      <c r="Q264" s="1">
        <f>mlb_payrolls[[#This Row],[Total Payroll Allocations]]-mlb_payrolls[[#This Row],[Payroll Parts Sum]]</f>
        <v>0</v>
      </c>
      <c r="R264" s="2">
        <f>IF(mlb_payrolls[[#This Row],[Total Payroll Allocations]]&gt;0, mlb_payrolls[[#This Row],[Active 26-Man]]/mlb_payrolls[[#This Row],[Total Payroll Allocations]],"")</f>
        <v>0.47824418437539501</v>
      </c>
      <c r="S264" s="2">
        <f>IF(mlb_payrolls[[#This Row],[Total Payroll Allocations]]&gt;0,mlb_payrolls[[#This Row],[Injured]]/mlb_payrolls[[#This Row],[Total Payroll Allocations]])</f>
        <v>0.45833720025776609</v>
      </c>
      <c r="T264" s="3">
        <f>IF(mlb_payrolls[[#This Row],[Total Payroll Allocations]]&gt;0,mlb_payrolls[[#This Row],[Retained]]/mlb_payrolls[[#This Row],[Total Payroll Allocations]])</f>
        <v>5.5951581311282417E-2</v>
      </c>
      <c r="U264" s="3">
        <f>IF(mlb_payrolls[[#This Row],[Total Payroll Allocations]]&gt;0,mlb_payrolls[[#This Row],[Buried]]/mlb_payrolls[[#This Row],[Total Payroll Allocations]])</f>
        <v>7.4670340555564943E-3</v>
      </c>
      <c r="V264">
        <f>IF(mlb_payrolls[[#This Row],[Postseason]]="No Playoffs",0,1)</f>
        <v>0</v>
      </c>
    </row>
    <row r="265" spans="1:22" x14ac:dyDescent="0.3">
      <c r="A265" t="s">
        <v>53</v>
      </c>
      <c r="B265" t="s">
        <v>54</v>
      </c>
      <c r="C265">
        <v>2013</v>
      </c>
      <c r="D265">
        <v>28.4</v>
      </c>
      <c r="E265" s="1">
        <v>140280186</v>
      </c>
      <c r="F265" s="1">
        <v>137880980</v>
      </c>
      <c r="G265" s="1">
        <v>0</v>
      </c>
      <c r="H265" s="1">
        <v>2157977</v>
      </c>
      <c r="I265" s="1">
        <v>241229</v>
      </c>
      <c r="J265">
        <v>76</v>
      </c>
      <c r="K265">
        <v>86</v>
      </c>
      <c r="L265" t="s">
        <v>14</v>
      </c>
      <c r="M265">
        <f>mlb_payrolls[[#This Row],[Wins]] + mlb_payrolls[[#This Row],[Losses]]</f>
        <v>162</v>
      </c>
      <c r="N265" s="2">
        <f>IF(mlb_payrolls[[#This Row],[Games]] &gt;0, mlb_payrolls[[#This Row],[Wins]]/mlb_payrolls[[#This Row],[Games]], "")</f>
        <v>0.46913580246913578</v>
      </c>
      <c r="O265" s="1">
        <f>IFERROR(VALUE(mlb_payrolls[[#This Row],[Total Payroll Allocations]])/VALUE(mlb_payrolls[[#This Row],[Wins]]),"")</f>
        <v>1845791.9210526317</v>
      </c>
      <c r="P265" s="1">
        <f>SUM(mlb_payrolls[[#This Row],[Active 26-Man]],mlb_payrolls[[#This Row],[Injured]],mlb_payrolls[[#This Row],[Retained]],mlb_payrolls[[#This Row],[Buried]])</f>
        <v>140280186</v>
      </c>
      <c r="Q265" s="1">
        <f>mlb_payrolls[[#This Row],[Total Payroll Allocations]]-mlb_payrolls[[#This Row],[Payroll Parts Sum]]</f>
        <v>0</v>
      </c>
      <c r="R265" s="2">
        <f>IF(mlb_payrolls[[#This Row],[Total Payroll Allocations]]&gt;0, mlb_payrolls[[#This Row],[Active 26-Man]]/mlb_payrolls[[#This Row],[Total Payroll Allocations]],"")</f>
        <v>0.98289704292236968</v>
      </c>
      <c r="S265" s="2">
        <f>IF(mlb_payrolls[[#This Row],[Total Payroll Allocations]]&gt;0,mlb_payrolls[[#This Row],[Injured]]/mlb_payrolls[[#This Row],[Total Payroll Allocations]])</f>
        <v>0</v>
      </c>
      <c r="T265" s="3">
        <f>IF(mlb_payrolls[[#This Row],[Total Payroll Allocations]]&gt;0,mlb_payrolls[[#This Row],[Retained]]/mlb_payrolls[[#This Row],[Total Payroll Allocations]])</f>
        <v>1.5383334322068834E-2</v>
      </c>
      <c r="U265" s="3">
        <f>IF(mlb_payrolls[[#This Row],[Total Payroll Allocations]]&gt;0,mlb_payrolls[[#This Row],[Buried]]/mlb_payrolls[[#This Row],[Total Payroll Allocations]])</f>
        <v>1.7196227555615017E-3</v>
      </c>
      <c r="V265">
        <f>IF(mlb_payrolls[[#This Row],[Postseason]]="No Playoffs",0,1)</f>
        <v>0</v>
      </c>
    </row>
    <row r="266" spans="1:22" x14ac:dyDescent="0.3">
      <c r="A266" t="s">
        <v>69</v>
      </c>
      <c r="B266" t="s">
        <v>70</v>
      </c>
      <c r="C266">
        <v>2021</v>
      </c>
      <c r="D266">
        <v>28</v>
      </c>
      <c r="E266" s="1">
        <v>140406825</v>
      </c>
      <c r="F266" s="1">
        <v>125829369</v>
      </c>
      <c r="G266" s="1">
        <v>3193240</v>
      </c>
      <c r="H266" s="1">
        <v>10099143</v>
      </c>
      <c r="I266" s="1">
        <v>1285073</v>
      </c>
      <c r="J266">
        <v>93</v>
      </c>
      <c r="K266">
        <v>69</v>
      </c>
      <c r="L266" t="s">
        <v>24</v>
      </c>
      <c r="M266">
        <f>mlb_payrolls[[#This Row],[Wins]] + mlb_payrolls[[#This Row],[Losses]]</f>
        <v>162</v>
      </c>
      <c r="N266" s="2">
        <f>IF(mlb_payrolls[[#This Row],[Games]] &gt;0, mlb_payrolls[[#This Row],[Wins]]/mlb_payrolls[[#This Row],[Games]], "")</f>
        <v>0.57407407407407407</v>
      </c>
      <c r="O266" s="1">
        <f>IFERROR(VALUE(mlb_payrolls[[#This Row],[Total Payroll Allocations]])/VALUE(mlb_payrolls[[#This Row],[Wins]]),"")</f>
        <v>1509750.8064516129</v>
      </c>
      <c r="P266" s="1">
        <f>SUM(mlb_payrolls[[#This Row],[Active 26-Man]],mlb_payrolls[[#This Row],[Injured]],mlb_payrolls[[#This Row],[Retained]],mlb_payrolls[[#This Row],[Buried]])</f>
        <v>140406825</v>
      </c>
      <c r="Q266" s="1">
        <f>mlb_payrolls[[#This Row],[Total Payroll Allocations]]-mlb_payrolls[[#This Row],[Payroll Parts Sum]]</f>
        <v>0</v>
      </c>
      <c r="R266" s="2">
        <f>IF(mlb_payrolls[[#This Row],[Total Payroll Allocations]]&gt;0, mlb_payrolls[[#This Row],[Active 26-Man]]/mlb_payrolls[[#This Row],[Total Payroll Allocations]],"")</f>
        <v>0.89617701276273432</v>
      </c>
      <c r="S266" s="2">
        <f>IF(mlb_payrolls[[#This Row],[Total Payroll Allocations]]&gt;0,mlb_payrolls[[#This Row],[Injured]]/mlb_payrolls[[#This Row],[Total Payroll Allocations]])</f>
        <v>2.274276909259931E-2</v>
      </c>
      <c r="T266" s="3">
        <f>IF(mlb_payrolls[[#This Row],[Total Payroll Allocations]]&gt;0,mlb_payrolls[[#This Row],[Retained]]/mlb_payrolls[[#This Row],[Total Payroll Allocations]])</f>
        <v>7.1927721462257982E-2</v>
      </c>
      <c r="U266" s="3">
        <f>IF(mlb_payrolls[[#This Row],[Total Payroll Allocations]]&gt;0,mlb_payrolls[[#This Row],[Buried]]/mlb_payrolls[[#This Row],[Total Payroll Allocations]])</f>
        <v>9.1524966824084227E-3</v>
      </c>
      <c r="V266">
        <f>IF(mlb_payrolls[[#This Row],[Postseason]]="No Playoffs",0,1)</f>
        <v>1</v>
      </c>
    </row>
    <row r="267" spans="1:22" x14ac:dyDescent="0.3">
      <c r="A267" t="s">
        <v>59</v>
      </c>
      <c r="B267" t="s">
        <v>60</v>
      </c>
      <c r="C267">
        <v>2013</v>
      </c>
      <c r="D267">
        <v>27.7</v>
      </c>
      <c r="E267" s="1">
        <v>141542644</v>
      </c>
      <c r="F267" s="1">
        <v>117426989</v>
      </c>
      <c r="G267" s="1">
        <v>0</v>
      </c>
      <c r="H267" s="1">
        <v>23845171</v>
      </c>
      <c r="I267" s="1">
        <v>270484</v>
      </c>
      <c r="J267">
        <v>78</v>
      </c>
      <c r="K267">
        <v>84</v>
      </c>
      <c r="L267" t="s">
        <v>14</v>
      </c>
      <c r="M267">
        <f>mlb_payrolls[[#This Row],[Wins]] + mlb_payrolls[[#This Row],[Losses]]</f>
        <v>162</v>
      </c>
      <c r="N267" s="2">
        <f>IF(mlb_payrolls[[#This Row],[Games]] &gt;0, mlb_payrolls[[#This Row],[Wins]]/mlb_payrolls[[#This Row],[Games]], "")</f>
        <v>0.48148148148148145</v>
      </c>
      <c r="O267" s="1">
        <f>IFERROR(VALUE(mlb_payrolls[[#This Row],[Total Payroll Allocations]])/VALUE(mlb_payrolls[[#This Row],[Wins]]),"")</f>
        <v>1814649.282051282</v>
      </c>
      <c r="P267" s="1">
        <f>SUM(mlb_payrolls[[#This Row],[Active 26-Man]],mlb_payrolls[[#This Row],[Injured]],mlb_payrolls[[#This Row],[Retained]],mlb_payrolls[[#This Row],[Buried]])</f>
        <v>141542644</v>
      </c>
      <c r="Q267" s="1">
        <f>mlb_payrolls[[#This Row],[Total Payroll Allocations]]-mlb_payrolls[[#This Row],[Payroll Parts Sum]]</f>
        <v>0</v>
      </c>
      <c r="R267" s="2">
        <f>IF(mlb_payrolls[[#This Row],[Total Payroll Allocations]]&gt;0, mlb_payrolls[[#This Row],[Active 26-Man]]/mlb_payrolls[[#This Row],[Total Payroll Allocations]],"")</f>
        <v>0.82962268954082841</v>
      </c>
      <c r="S267" s="2">
        <f>IF(mlb_payrolls[[#This Row],[Total Payroll Allocations]]&gt;0,mlb_payrolls[[#This Row],[Injured]]/mlb_payrolls[[#This Row],[Total Payroll Allocations]])</f>
        <v>0</v>
      </c>
      <c r="T267" s="3">
        <f>IF(mlb_payrolls[[#This Row],[Total Payroll Allocations]]&gt;0,mlb_payrolls[[#This Row],[Retained]]/mlb_payrolls[[#This Row],[Total Payroll Allocations]])</f>
        <v>0.16846633866751845</v>
      </c>
      <c r="U267" s="3">
        <f>IF(mlb_payrolls[[#This Row],[Total Payroll Allocations]]&gt;0,mlb_payrolls[[#This Row],[Buried]]/mlb_payrolls[[#This Row],[Total Payroll Allocations]])</f>
        <v>1.9109717916531218E-3</v>
      </c>
      <c r="V267">
        <f>IF(mlb_payrolls[[#This Row],[Postseason]]="No Playoffs",0,1)</f>
        <v>0</v>
      </c>
    </row>
    <row r="268" spans="1:22" x14ac:dyDescent="0.3">
      <c r="A268" t="s">
        <v>31</v>
      </c>
      <c r="B268" t="s">
        <v>32</v>
      </c>
      <c r="C268">
        <v>2016</v>
      </c>
      <c r="D268">
        <v>28.3</v>
      </c>
      <c r="E268" s="1">
        <v>141587358</v>
      </c>
      <c r="F268" s="1">
        <v>106349212</v>
      </c>
      <c r="G268" s="1">
        <v>20825000</v>
      </c>
      <c r="H268" s="1">
        <v>14210664</v>
      </c>
      <c r="I268" s="1">
        <v>202482</v>
      </c>
      <c r="J268">
        <v>81</v>
      </c>
      <c r="K268">
        <v>81</v>
      </c>
      <c r="L268" t="s">
        <v>14</v>
      </c>
      <c r="M268">
        <f>mlb_payrolls[[#This Row],[Wins]] + mlb_payrolls[[#This Row],[Losses]]</f>
        <v>162</v>
      </c>
      <c r="N268" s="2">
        <f>IF(mlb_payrolls[[#This Row],[Games]] &gt;0, mlb_payrolls[[#This Row],[Wins]]/mlb_payrolls[[#This Row],[Games]], "")</f>
        <v>0.5</v>
      </c>
      <c r="O268" s="1">
        <f>IFERROR(VALUE(mlb_payrolls[[#This Row],[Total Payroll Allocations]])/VALUE(mlb_payrolls[[#This Row],[Wins]]),"")</f>
        <v>1747992.0740740742</v>
      </c>
      <c r="P268" s="1">
        <f>SUM(mlb_payrolls[[#This Row],[Active 26-Man]],mlb_payrolls[[#This Row],[Injured]],mlb_payrolls[[#This Row],[Retained]],mlb_payrolls[[#This Row],[Buried]])</f>
        <v>141587358</v>
      </c>
      <c r="Q268" s="1">
        <f>mlb_payrolls[[#This Row],[Total Payroll Allocations]]-mlb_payrolls[[#This Row],[Payroll Parts Sum]]</f>
        <v>0</v>
      </c>
      <c r="R268" s="2">
        <f>IF(mlb_payrolls[[#This Row],[Total Payroll Allocations]]&gt;0, mlb_payrolls[[#This Row],[Active 26-Man]]/mlb_payrolls[[#This Row],[Total Payroll Allocations]],"")</f>
        <v>0.75112081687406018</v>
      </c>
      <c r="S268" s="2">
        <f>IF(mlb_payrolls[[#This Row],[Total Payroll Allocations]]&gt;0,mlb_payrolls[[#This Row],[Injured]]/mlb_payrolls[[#This Row],[Total Payroll Allocations]])</f>
        <v>0.14708234050104954</v>
      </c>
      <c r="T268" s="3">
        <f>IF(mlb_payrolls[[#This Row],[Total Payroll Allocations]]&gt;0,mlb_payrolls[[#This Row],[Retained]]/mlb_payrolls[[#This Row],[Total Payroll Allocations]])</f>
        <v>0.10036675732024042</v>
      </c>
      <c r="U268" s="3">
        <f>IF(mlb_payrolls[[#This Row],[Total Payroll Allocations]]&gt;0,mlb_payrolls[[#This Row],[Buried]]/mlb_payrolls[[#This Row],[Total Payroll Allocations]])</f>
        <v>1.4300853046498685E-3</v>
      </c>
      <c r="V268">
        <f>IF(mlb_payrolls[[#This Row],[Postseason]]="No Playoffs",0,1)</f>
        <v>0</v>
      </c>
    </row>
    <row r="269" spans="1:22" x14ac:dyDescent="0.3">
      <c r="A269" t="s">
        <v>55</v>
      </c>
      <c r="B269" t="s">
        <v>56</v>
      </c>
      <c r="C269">
        <v>2015</v>
      </c>
      <c r="D269">
        <v>27.4</v>
      </c>
      <c r="E269" s="1">
        <v>141722639</v>
      </c>
      <c r="F269" s="1">
        <v>52800331</v>
      </c>
      <c r="G269" s="1">
        <v>33290177</v>
      </c>
      <c r="H269" s="1">
        <v>51719664</v>
      </c>
      <c r="I269" s="1">
        <v>3912467</v>
      </c>
      <c r="J269">
        <v>63</v>
      </c>
      <c r="K269">
        <v>99</v>
      </c>
      <c r="L269" t="s">
        <v>14</v>
      </c>
      <c r="M269">
        <f>mlb_payrolls[[#This Row],[Wins]] + mlb_payrolls[[#This Row],[Losses]]</f>
        <v>162</v>
      </c>
      <c r="N269" s="2">
        <f>IF(mlb_payrolls[[#This Row],[Games]] &gt;0, mlb_payrolls[[#This Row],[Wins]]/mlb_payrolls[[#This Row],[Games]], "")</f>
        <v>0.3888888888888889</v>
      </c>
      <c r="O269" s="1">
        <f>IFERROR(VALUE(mlb_payrolls[[#This Row],[Total Payroll Allocations]])/VALUE(mlb_payrolls[[#This Row],[Wins]]),"")</f>
        <v>2249565.6984126982</v>
      </c>
      <c r="P269" s="1">
        <f>SUM(mlb_payrolls[[#This Row],[Active 26-Man]],mlb_payrolls[[#This Row],[Injured]],mlb_payrolls[[#This Row],[Retained]],mlb_payrolls[[#This Row],[Buried]])</f>
        <v>141722639</v>
      </c>
      <c r="Q269" s="1">
        <f>mlb_payrolls[[#This Row],[Total Payroll Allocations]]-mlb_payrolls[[#This Row],[Payroll Parts Sum]]</f>
        <v>0</v>
      </c>
      <c r="R269" s="2">
        <f>IF(mlb_payrolls[[#This Row],[Total Payroll Allocations]]&gt;0, mlb_payrolls[[#This Row],[Active 26-Man]]/mlb_payrolls[[#This Row],[Total Payroll Allocations]],"")</f>
        <v>0.37256102040267541</v>
      </c>
      <c r="S269" s="2">
        <f>IF(mlb_payrolls[[#This Row],[Total Payroll Allocations]]&gt;0,mlb_payrolls[[#This Row],[Injured]]/mlb_payrolls[[#This Row],[Total Payroll Allocations]])</f>
        <v>0.23489667730502817</v>
      </c>
      <c r="T269" s="3">
        <f>IF(mlb_payrolls[[#This Row],[Total Payroll Allocations]]&gt;0,mlb_payrolls[[#This Row],[Retained]]/mlb_payrolls[[#This Row],[Total Payroll Allocations]])</f>
        <v>0.36493579547301541</v>
      </c>
      <c r="U269" s="3">
        <f>IF(mlb_payrolls[[#This Row],[Total Payroll Allocations]]&gt;0,mlb_payrolls[[#This Row],[Buried]]/mlb_payrolls[[#This Row],[Total Payroll Allocations]])</f>
        <v>2.7606506819281004E-2</v>
      </c>
      <c r="V269">
        <f>IF(mlb_payrolls[[#This Row],[Postseason]]="No Playoffs",0,1)</f>
        <v>0</v>
      </c>
    </row>
    <row r="270" spans="1:22" x14ac:dyDescent="0.3">
      <c r="A270" t="s">
        <v>43</v>
      </c>
      <c r="B270" t="s">
        <v>44</v>
      </c>
      <c r="C270">
        <v>2018</v>
      </c>
      <c r="D270">
        <v>28.9</v>
      </c>
      <c r="E270" s="1">
        <v>141724597</v>
      </c>
      <c r="F270" s="1">
        <v>107901628</v>
      </c>
      <c r="G270" s="1">
        <v>14124025</v>
      </c>
      <c r="H270" s="1">
        <v>5630585</v>
      </c>
      <c r="I270" s="1">
        <v>14068359</v>
      </c>
      <c r="J270">
        <v>82</v>
      </c>
      <c r="K270">
        <v>80</v>
      </c>
      <c r="L270" t="s">
        <v>14</v>
      </c>
      <c r="M270">
        <f>mlb_payrolls[[#This Row],[Wins]] + mlb_payrolls[[#This Row],[Losses]]</f>
        <v>162</v>
      </c>
      <c r="N270" s="2">
        <f>IF(mlb_payrolls[[#This Row],[Games]] &gt;0, mlb_payrolls[[#This Row],[Wins]]/mlb_payrolls[[#This Row],[Games]], "")</f>
        <v>0.50617283950617287</v>
      </c>
      <c r="O270" s="1">
        <f>IFERROR(VALUE(mlb_payrolls[[#This Row],[Total Payroll Allocations]])/VALUE(mlb_payrolls[[#This Row],[Wins]]),"")</f>
        <v>1728348.743902439</v>
      </c>
      <c r="P270" s="1">
        <f>SUM(mlb_payrolls[[#This Row],[Active 26-Man]],mlb_payrolls[[#This Row],[Injured]],mlb_payrolls[[#This Row],[Retained]],mlb_payrolls[[#This Row],[Buried]])</f>
        <v>141724597</v>
      </c>
      <c r="Q270" s="1">
        <f>mlb_payrolls[[#This Row],[Total Payroll Allocations]]-mlb_payrolls[[#This Row],[Payroll Parts Sum]]</f>
        <v>0</v>
      </c>
      <c r="R270" s="2">
        <f>IF(mlb_payrolls[[#This Row],[Total Payroll Allocations]]&gt;0, mlb_payrolls[[#This Row],[Active 26-Man]]/mlb_payrolls[[#This Row],[Total Payroll Allocations]],"")</f>
        <v>0.76134722048283543</v>
      </c>
      <c r="S270" s="2">
        <f>IF(mlb_payrolls[[#This Row],[Total Payroll Allocations]]&gt;0,mlb_payrolls[[#This Row],[Injured]]/mlb_payrolls[[#This Row],[Total Payroll Allocations]])</f>
        <v>9.9658247749330339E-2</v>
      </c>
      <c r="T270" s="3">
        <f>IF(mlb_payrolls[[#This Row],[Total Payroll Allocations]]&gt;0,mlb_payrolls[[#This Row],[Retained]]/mlb_payrolls[[#This Row],[Total Payroll Allocations]])</f>
        <v>3.972905987518878E-2</v>
      </c>
      <c r="U270" s="3">
        <f>IF(mlb_payrolls[[#This Row],[Total Payroll Allocations]]&gt;0,mlb_payrolls[[#This Row],[Buried]]/mlb_payrolls[[#This Row],[Total Payroll Allocations]])</f>
        <v>9.9265471892645424E-2</v>
      </c>
      <c r="V270">
        <f>IF(mlb_payrolls[[#This Row],[Postseason]]="No Playoffs",0,1)</f>
        <v>0</v>
      </c>
    </row>
    <row r="271" spans="1:22" x14ac:dyDescent="0.3">
      <c r="A271" t="s">
        <v>67</v>
      </c>
      <c r="B271" t="s">
        <v>68</v>
      </c>
      <c r="C271">
        <v>2014</v>
      </c>
      <c r="D271">
        <v>28</v>
      </c>
      <c r="E271" s="1">
        <v>141812172</v>
      </c>
      <c r="F271" s="1">
        <v>122125961</v>
      </c>
      <c r="G271" s="1">
        <v>3000000</v>
      </c>
      <c r="H271" s="1">
        <v>5186211</v>
      </c>
      <c r="I271" s="1">
        <v>11500000</v>
      </c>
      <c r="J271">
        <v>83</v>
      </c>
      <c r="K271">
        <v>79</v>
      </c>
      <c r="L271" t="s">
        <v>14</v>
      </c>
      <c r="M271">
        <f>mlb_payrolls[[#This Row],[Wins]] + mlb_payrolls[[#This Row],[Losses]]</f>
        <v>162</v>
      </c>
      <c r="N271" s="2">
        <f>IF(mlb_payrolls[[#This Row],[Games]] &gt;0, mlb_payrolls[[#This Row],[Wins]]/mlb_payrolls[[#This Row],[Games]], "")</f>
        <v>0.51234567901234573</v>
      </c>
      <c r="O271" s="1">
        <f>IFERROR(VALUE(mlb_payrolls[[#This Row],[Total Payroll Allocations]])/VALUE(mlb_payrolls[[#This Row],[Wins]]),"")</f>
        <v>1708580.3855421687</v>
      </c>
      <c r="P271" s="1">
        <f>SUM(mlb_payrolls[[#This Row],[Active 26-Man]],mlb_payrolls[[#This Row],[Injured]],mlb_payrolls[[#This Row],[Retained]],mlb_payrolls[[#This Row],[Buried]])</f>
        <v>141812172</v>
      </c>
      <c r="Q271" s="1">
        <f>mlb_payrolls[[#This Row],[Total Payroll Allocations]]-mlb_payrolls[[#This Row],[Payroll Parts Sum]]</f>
        <v>0</v>
      </c>
      <c r="R271" s="2">
        <f>IF(mlb_payrolls[[#This Row],[Total Payroll Allocations]]&gt;0, mlb_payrolls[[#This Row],[Active 26-Man]]/mlb_payrolls[[#This Row],[Total Payroll Allocations]],"")</f>
        <v>0.8611810909997204</v>
      </c>
      <c r="S271" s="2">
        <f>IF(mlb_payrolls[[#This Row],[Total Payroll Allocations]]&gt;0,mlb_payrolls[[#This Row],[Injured]]/mlb_payrolls[[#This Row],[Total Payroll Allocations]])</f>
        <v>2.1154742626747158E-2</v>
      </c>
      <c r="T271" s="3">
        <f>IF(mlb_payrolls[[#This Row],[Total Payroll Allocations]]&gt;0,mlb_payrolls[[#This Row],[Retained]]/mlb_payrolls[[#This Row],[Total Payroll Allocations]])</f>
        <v>3.6570986304335001E-2</v>
      </c>
      <c r="U271" s="3">
        <f>IF(mlb_payrolls[[#This Row],[Total Payroll Allocations]]&gt;0,mlb_payrolls[[#This Row],[Buried]]/mlb_payrolls[[#This Row],[Total Payroll Allocations]])</f>
        <v>8.109318006919744E-2</v>
      </c>
      <c r="V271">
        <f>IF(mlb_payrolls[[#This Row],[Postseason]]="No Playoffs",0,1)</f>
        <v>0</v>
      </c>
    </row>
    <row r="272" spans="1:22" x14ac:dyDescent="0.3">
      <c r="A272" t="s">
        <v>63</v>
      </c>
      <c r="B272" t="s">
        <v>64</v>
      </c>
      <c r="C272">
        <v>2017</v>
      </c>
      <c r="D272">
        <v>28.1</v>
      </c>
      <c r="E272" s="1">
        <v>141966320</v>
      </c>
      <c r="F272" s="1">
        <v>106415185</v>
      </c>
      <c r="G272" s="1">
        <v>1074360</v>
      </c>
      <c r="H272" s="1">
        <v>33856996</v>
      </c>
      <c r="I272" s="1">
        <v>619779</v>
      </c>
      <c r="J272">
        <v>78</v>
      </c>
      <c r="K272">
        <v>84</v>
      </c>
      <c r="L272" t="s">
        <v>14</v>
      </c>
      <c r="M272">
        <f>mlb_payrolls[[#This Row],[Wins]] + mlb_payrolls[[#This Row],[Losses]]</f>
        <v>162</v>
      </c>
      <c r="N272" s="2">
        <f>IF(mlb_payrolls[[#This Row],[Games]] &gt;0, mlb_payrolls[[#This Row],[Wins]]/mlb_payrolls[[#This Row],[Games]], "")</f>
        <v>0.48148148148148145</v>
      </c>
      <c r="O272" s="1">
        <f>IFERROR(VALUE(mlb_payrolls[[#This Row],[Total Payroll Allocations]])/VALUE(mlb_payrolls[[#This Row],[Wins]]),"")</f>
        <v>1820081.0256410257</v>
      </c>
      <c r="P272" s="1">
        <f>SUM(mlb_payrolls[[#This Row],[Active 26-Man]],mlb_payrolls[[#This Row],[Injured]],mlb_payrolls[[#This Row],[Retained]],mlb_payrolls[[#This Row],[Buried]])</f>
        <v>141966320</v>
      </c>
      <c r="Q272" s="1">
        <f>mlb_payrolls[[#This Row],[Total Payroll Allocations]]-mlb_payrolls[[#This Row],[Payroll Parts Sum]]</f>
        <v>0</v>
      </c>
      <c r="R272" s="2">
        <f>IF(mlb_payrolls[[#This Row],[Total Payroll Allocations]]&gt;0, mlb_payrolls[[#This Row],[Active 26-Man]]/mlb_payrolls[[#This Row],[Total Payroll Allocations]],"")</f>
        <v>0.74958049909302427</v>
      </c>
      <c r="S272" s="2">
        <f>IF(mlb_payrolls[[#This Row],[Total Payroll Allocations]]&gt;0,mlb_payrolls[[#This Row],[Injured]]/mlb_payrolls[[#This Row],[Total Payroll Allocations]])</f>
        <v>7.5677104259658208E-3</v>
      </c>
      <c r="T272" s="3">
        <f>IF(mlb_payrolls[[#This Row],[Total Payroll Allocations]]&gt;0,mlb_payrolls[[#This Row],[Retained]]/mlb_payrolls[[#This Row],[Total Payroll Allocations]])</f>
        <v>0.23848611417130486</v>
      </c>
      <c r="U272" s="3">
        <f>IF(mlb_payrolls[[#This Row],[Total Payroll Allocations]]&gt;0,mlb_payrolls[[#This Row],[Buried]]/mlb_payrolls[[#This Row],[Total Payroll Allocations]])</f>
        <v>4.3656763097050062E-3</v>
      </c>
      <c r="V272">
        <f>IF(mlb_payrolls[[#This Row],[Postseason]]="No Playoffs",0,1)</f>
        <v>0</v>
      </c>
    </row>
    <row r="273" spans="1:22" x14ac:dyDescent="0.3">
      <c r="A273" t="s">
        <v>59</v>
      </c>
      <c r="B273" t="s">
        <v>60</v>
      </c>
      <c r="C273">
        <v>2015</v>
      </c>
      <c r="D273">
        <v>28</v>
      </c>
      <c r="E273" s="1">
        <v>142198162</v>
      </c>
      <c r="F273" s="1">
        <v>106512083</v>
      </c>
      <c r="G273" s="1">
        <v>19015000</v>
      </c>
      <c r="H273" s="1">
        <v>16043722</v>
      </c>
      <c r="I273" s="1">
        <v>627357</v>
      </c>
      <c r="J273">
        <v>85</v>
      </c>
      <c r="K273">
        <v>77</v>
      </c>
      <c r="L273" t="s">
        <v>14</v>
      </c>
      <c r="M273">
        <f>mlb_payrolls[[#This Row],[Wins]] + mlb_payrolls[[#This Row],[Losses]]</f>
        <v>162</v>
      </c>
      <c r="N273" s="2">
        <f>IF(mlb_payrolls[[#This Row],[Games]] &gt;0, mlb_payrolls[[#This Row],[Wins]]/mlb_payrolls[[#This Row],[Games]], "")</f>
        <v>0.52469135802469136</v>
      </c>
      <c r="O273" s="1">
        <f>IFERROR(VALUE(mlb_payrolls[[#This Row],[Total Payroll Allocations]])/VALUE(mlb_payrolls[[#This Row],[Wins]]),"")</f>
        <v>1672919.5529411766</v>
      </c>
      <c r="P273" s="1">
        <f>SUM(mlb_payrolls[[#This Row],[Active 26-Man]],mlb_payrolls[[#This Row],[Injured]],mlb_payrolls[[#This Row],[Retained]],mlb_payrolls[[#This Row],[Buried]])</f>
        <v>142198162</v>
      </c>
      <c r="Q273" s="1">
        <f>mlb_payrolls[[#This Row],[Total Payroll Allocations]]-mlb_payrolls[[#This Row],[Payroll Parts Sum]]</f>
        <v>0</v>
      </c>
      <c r="R273" s="2">
        <f>IF(mlb_payrolls[[#This Row],[Total Payroll Allocations]]&gt;0, mlb_payrolls[[#This Row],[Active 26-Man]]/mlb_payrolls[[#This Row],[Total Payroll Allocations]],"")</f>
        <v>0.74903980123174874</v>
      </c>
      <c r="S273" s="2">
        <f>IF(mlb_payrolls[[#This Row],[Total Payroll Allocations]]&gt;0,mlb_payrolls[[#This Row],[Injured]]/mlb_payrolls[[#This Row],[Total Payroll Allocations]])</f>
        <v>0.13372184093349954</v>
      </c>
      <c r="T273" s="3">
        <f>IF(mlb_payrolls[[#This Row],[Total Payroll Allocations]]&gt;0,mlb_payrolls[[#This Row],[Retained]]/mlb_payrolls[[#This Row],[Total Payroll Allocations]])</f>
        <v>0.11282650756062515</v>
      </c>
      <c r="U273" s="3">
        <f>IF(mlb_payrolls[[#This Row],[Total Payroll Allocations]]&gt;0,mlb_payrolls[[#This Row],[Buried]]/mlb_payrolls[[#This Row],[Total Payroll Allocations]])</f>
        <v>4.4118502741266096E-3</v>
      </c>
      <c r="V273">
        <f>IF(mlb_payrolls[[#This Row],[Postseason]]="No Playoffs",0,1)</f>
        <v>0</v>
      </c>
    </row>
    <row r="274" spans="1:22" x14ac:dyDescent="0.3">
      <c r="A274" t="s">
        <v>73</v>
      </c>
      <c r="B274" t="s">
        <v>74</v>
      </c>
      <c r="C274">
        <v>2011</v>
      </c>
      <c r="D274">
        <v>28.7</v>
      </c>
      <c r="E274" s="1">
        <v>142245841</v>
      </c>
      <c r="F274" s="1">
        <v>96577418</v>
      </c>
      <c r="G274" s="1">
        <v>0</v>
      </c>
      <c r="H274" s="1">
        <v>45668423</v>
      </c>
      <c r="I274" s="1">
        <v>0</v>
      </c>
      <c r="J274">
        <v>77</v>
      </c>
      <c r="K274">
        <v>85</v>
      </c>
      <c r="L274" t="s">
        <v>14</v>
      </c>
      <c r="M274">
        <f>mlb_payrolls[[#This Row],[Wins]] + mlb_payrolls[[#This Row],[Losses]]</f>
        <v>162</v>
      </c>
      <c r="N274" s="2">
        <f>IF(mlb_payrolls[[#This Row],[Games]] &gt;0, mlb_payrolls[[#This Row],[Wins]]/mlb_payrolls[[#This Row],[Games]], "")</f>
        <v>0.47530864197530864</v>
      </c>
      <c r="O274" s="1">
        <f>IFERROR(VALUE(mlb_payrolls[[#This Row],[Total Payroll Allocations]])/VALUE(mlb_payrolls[[#This Row],[Wins]]),"")</f>
        <v>1847348.5844155843</v>
      </c>
      <c r="P274" s="1">
        <f>SUM(mlb_payrolls[[#This Row],[Active 26-Man]],mlb_payrolls[[#This Row],[Injured]],mlb_payrolls[[#This Row],[Retained]],mlb_payrolls[[#This Row],[Buried]])</f>
        <v>142245841</v>
      </c>
      <c r="Q274" s="1">
        <f>mlb_payrolls[[#This Row],[Total Payroll Allocations]]-mlb_payrolls[[#This Row],[Payroll Parts Sum]]</f>
        <v>0</v>
      </c>
      <c r="R274" s="2">
        <f>IF(mlb_payrolls[[#This Row],[Total Payroll Allocations]]&gt;0, mlb_payrolls[[#This Row],[Active 26-Man]]/mlb_payrolls[[#This Row],[Total Payroll Allocations]],"")</f>
        <v>0.67894721786628542</v>
      </c>
      <c r="S274" s="2">
        <f>IF(mlb_payrolls[[#This Row],[Total Payroll Allocations]]&gt;0,mlb_payrolls[[#This Row],[Injured]]/mlb_payrolls[[#This Row],[Total Payroll Allocations]])</f>
        <v>0</v>
      </c>
      <c r="T274" s="3">
        <f>IF(mlb_payrolls[[#This Row],[Total Payroll Allocations]]&gt;0,mlb_payrolls[[#This Row],[Retained]]/mlb_payrolls[[#This Row],[Total Payroll Allocations]])</f>
        <v>0.32105278213371452</v>
      </c>
      <c r="U274" s="3">
        <f>IF(mlb_payrolls[[#This Row],[Total Payroll Allocations]]&gt;0,mlb_payrolls[[#This Row],[Buried]]/mlb_payrolls[[#This Row],[Total Payroll Allocations]])</f>
        <v>0</v>
      </c>
      <c r="V274">
        <f>IF(mlb_payrolls[[#This Row],[Postseason]]="No Playoffs",0,1)</f>
        <v>0</v>
      </c>
    </row>
    <row r="275" spans="1:22" x14ac:dyDescent="0.3">
      <c r="A275" t="s">
        <v>22</v>
      </c>
      <c r="B275" t="s">
        <v>23</v>
      </c>
      <c r="C275">
        <v>2018</v>
      </c>
      <c r="D275">
        <v>29.6</v>
      </c>
      <c r="E275" s="1">
        <v>142604703</v>
      </c>
      <c r="F275" s="1">
        <v>123470545</v>
      </c>
      <c r="G275" s="1">
        <v>12836166</v>
      </c>
      <c r="H275" s="1">
        <v>5222548</v>
      </c>
      <c r="I275" s="1">
        <v>1075444</v>
      </c>
      <c r="J275">
        <v>91</v>
      </c>
      <c r="K275">
        <v>71</v>
      </c>
      <c r="L275" t="s">
        <v>24</v>
      </c>
      <c r="M275">
        <f>mlb_payrolls[[#This Row],[Wins]] + mlb_payrolls[[#This Row],[Losses]]</f>
        <v>162</v>
      </c>
      <c r="N275" s="2">
        <f>IF(mlb_payrolls[[#This Row],[Games]] &gt;0, mlb_payrolls[[#This Row],[Wins]]/mlb_payrolls[[#This Row],[Games]], "")</f>
        <v>0.56172839506172845</v>
      </c>
      <c r="O275" s="1">
        <f>IFERROR(VALUE(mlb_payrolls[[#This Row],[Total Payroll Allocations]])/VALUE(mlb_payrolls[[#This Row],[Wins]]),"")</f>
        <v>1567084.6483516484</v>
      </c>
      <c r="P275" s="1">
        <f>SUM(mlb_payrolls[[#This Row],[Active 26-Man]],mlb_payrolls[[#This Row],[Injured]],mlb_payrolls[[#This Row],[Retained]],mlb_payrolls[[#This Row],[Buried]])</f>
        <v>142604703</v>
      </c>
      <c r="Q275" s="1">
        <f>mlb_payrolls[[#This Row],[Total Payroll Allocations]]-mlb_payrolls[[#This Row],[Payroll Parts Sum]]</f>
        <v>0</v>
      </c>
      <c r="R275" s="2">
        <f>IF(mlb_payrolls[[#This Row],[Total Payroll Allocations]]&gt;0, mlb_payrolls[[#This Row],[Active 26-Man]]/mlb_payrolls[[#This Row],[Total Payroll Allocations]],"")</f>
        <v>0.86582379404415577</v>
      </c>
      <c r="S275" s="2">
        <f>IF(mlb_payrolls[[#This Row],[Total Payroll Allocations]]&gt;0,mlb_payrolls[[#This Row],[Injured]]/mlb_payrolls[[#This Row],[Total Payroll Allocations]])</f>
        <v>9.0012220704951088E-2</v>
      </c>
      <c r="T275" s="3">
        <f>IF(mlb_payrolls[[#This Row],[Total Payroll Allocations]]&gt;0,mlb_payrolls[[#This Row],[Retained]]/mlb_payrolls[[#This Row],[Total Payroll Allocations]])</f>
        <v>3.6622550940693728E-2</v>
      </c>
      <c r="U275" s="3">
        <f>IF(mlb_payrolls[[#This Row],[Total Payroll Allocations]]&gt;0,mlb_payrolls[[#This Row],[Buried]]/mlb_payrolls[[#This Row],[Total Payroll Allocations]])</f>
        <v>7.5414343101994326E-3</v>
      </c>
      <c r="V275">
        <f>IF(mlb_payrolls[[#This Row],[Postseason]]="No Playoffs",0,1)</f>
        <v>1</v>
      </c>
    </row>
    <row r="276" spans="1:22" x14ac:dyDescent="0.3">
      <c r="A276" t="s">
        <v>63</v>
      </c>
      <c r="B276" t="s">
        <v>64</v>
      </c>
      <c r="C276">
        <v>2016</v>
      </c>
      <c r="D276">
        <v>27.5</v>
      </c>
      <c r="E276" s="1">
        <v>143021690</v>
      </c>
      <c r="F276" s="1">
        <v>114724626</v>
      </c>
      <c r="G276" s="1">
        <v>21458018</v>
      </c>
      <c r="H276" s="1">
        <v>6652924</v>
      </c>
      <c r="I276" s="1">
        <v>186122</v>
      </c>
      <c r="J276">
        <v>95</v>
      </c>
      <c r="K276">
        <v>67</v>
      </c>
      <c r="L276" t="s">
        <v>24</v>
      </c>
      <c r="M276">
        <f>mlb_payrolls[[#This Row],[Wins]] + mlb_payrolls[[#This Row],[Losses]]</f>
        <v>162</v>
      </c>
      <c r="N276" s="2">
        <f>IF(mlb_payrolls[[#This Row],[Games]] &gt;0, mlb_payrolls[[#This Row],[Wins]]/mlb_payrolls[[#This Row],[Games]], "")</f>
        <v>0.5864197530864198</v>
      </c>
      <c r="O276" s="1">
        <f>IFERROR(VALUE(mlb_payrolls[[#This Row],[Total Payroll Allocations]])/VALUE(mlb_payrolls[[#This Row],[Wins]]),"")</f>
        <v>1505491.4736842106</v>
      </c>
      <c r="P276" s="1">
        <f>SUM(mlb_payrolls[[#This Row],[Active 26-Man]],mlb_payrolls[[#This Row],[Injured]],mlb_payrolls[[#This Row],[Retained]],mlb_payrolls[[#This Row],[Buried]])</f>
        <v>143021690</v>
      </c>
      <c r="Q276" s="1">
        <f>mlb_payrolls[[#This Row],[Total Payroll Allocations]]-mlb_payrolls[[#This Row],[Payroll Parts Sum]]</f>
        <v>0</v>
      </c>
      <c r="R276" s="2">
        <f>IF(mlb_payrolls[[#This Row],[Total Payroll Allocations]]&gt;0, mlb_payrolls[[#This Row],[Active 26-Man]]/mlb_payrolls[[#This Row],[Total Payroll Allocations]],"")</f>
        <v>0.80214844335848634</v>
      </c>
      <c r="S276" s="2">
        <f>IF(mlb_payrolls[[#This Row],[Total Payroll Allocations]]&gt;0,mlb_payrolls[[#This Row],[Injured]]/mlb_payrolls[[#This Row],[Total Payroll Allocations]])</f>
        <v>0.15003331312893869</v>
      </c>
      <c r="T276" s="3">
        <f>IF(mlb_payrolls[[#This Row],[Total Payroll Allocations]]&gt;0,mlb_payrolls[[#This Row],[Retained]]/mlb_payrolls[[#This Row],[Total Payroll Allocations]])</f>
        <v>4.6516888452373902E-2</v>
      </c>
      <c r="U276" s="3">
        <f>IF(mlb_payrolls[[#This Row],[Total Payroll Allocations]]&gt;0,mlb_payrolls[[#This Row],[Buried]]/mlb_payrolls[[#This Row],[Total Payroll Allocations]])</f>
        <v>1.3013550602010086E-3</v>
      </c>
      <c r="V276">
        <f>IF(mlb_payrolls[[#This Row],[Postseason]]="No Playoffs",0,1)</f>
        <v>1</v>
      </c>
    </row>
    <row r="277" spans="1:22" x14ac:dyDescent="0.3">
      <c r="A277" t="s">
        <v>33</v>
      </c>
      <c r="B277" t="s">
        <v>34</v>
      </c>
      <c r="C277">
        <v>2014</v>
      </c>
      <c r="D277">
        <v>28.3</v>
      </c>
      <c r="E277" s="1">
        <v>143278577</v>
      </c>
      <c r="F277" s="1">
        <v>142964370</v>
      </c>
      <c r="G277" s="1">
        <v>0</v>
      </c>
      <c r="H277" s="1">
        <v>136612</v>
      </c>
      <c r="I277" s="1">
        <v>177595</v>
      </c>
      <c r="J277">
        <v>96</v>
      </c>
      <c r="K277">
        <v>66</v>
      </c>
      <c r="L277" t="s">
        <v>24</v>
      </c>
      <c r="M277">
        <f>mlb_payrolls[[#This Row],[Wins]] + mlb_payrolls[[#This Row],[Losses]]</f>
        <v>162</v>
      </c>
      <c r="N277" s="2">
        <f>IF(mlb_payrolls[[#This Row],[Games]] &gt;0, mlb_payrolls[[#This Row],[Wins]]/mlb_payrolls[[#This Row],[Games]], "")</f>
        <v>0.59259259259259256</v>
      </c>
      <c r="O277" s="1">
        <f>IFERROR(VALUE(mlb_payrolls[[#This Row],[Total Payroll Allocations]])/VALUE(mlb_payrolls[[#This Row],[Wins]]),"")</f>
        <v>1492485.1770833333</v>
      </c>
      <c r="P277" s="1">
        <f>SUM(mlb_payrolls[[#This Row],[Active 26-Man]],mlb_payrolls[[#This Row],[Injured]],mlb_payrolls[[#This Row],[Retained]],mlb_payrolls[[#This Row],[Buried]])</f>
        <v>143278577</v>
      </c>
      <c r="Q277" s="1">
        <f>mlb_payrolls[[#This Row],[Total Payroll Allocations]]-mlb_payrolls[[#This Row],[Payroll Parts Sum]]</f>
        <v>0</v>
      </c>
      <c r="R277" s="2">
        <f>IF(mlb_payrolls[[#This Row],[Total Payroll Allocations]]&gt;0, mlb_payrolls[[#This Row],[Active 26-Man]]/mlb_payrolls[[#This Row],[Total Payroll Allocations]],"")</f>
        <v>0.99780702037541869</v>
      </c>
      <c r="S277" s="2">
        <f>IF(mlb_payrolls[[#This Row],[Total Payroll Allocations]]&gt;0,mlb_payrolls[[#This Row],[Injured]]/mlb_payrolls[[#This Row],[Total Payroll Allocations]])</f>
        <v>0</v>
      </c>
      <c r="T277" s="3">
        <f>IF(mlb_payrolls[[#This Row],[Total Payroll Allocations]]&gt;0,mlb_payrolls[[#This Row],[Retained]]/mlb_payrolls[[#This Row],[Total Payroll Allocations]])</f>
        <v>9.5347122270763478E-4</v>
      </c>
      <c r="U277" s="3">
        <f>IF(mlb_payrolls[[#This Row],[Total Payroll Allocations]]&gt;0,mlb_payrolls[[#This Row],[Buried]]/mlb_payrolls[[#This Row],[Total Payroll Allocations]])</f>
        <v>1.2395084018736451E-3</v>
      </c>
      <c r="V277">
        <f>IF(mlb_payrolls[[#This Row],[Postseason]]="No Playoffs",0,1)</f>
        <v>1</v>
      </c>
    </row>
    <row r="278" spans="1:22" x14ac:dyDescent="0.3">
      <c r="A278" t="s">
        <v>73</v>
      </c>
      <c r="B278" t="s">
        <v>74</v>
      </c>
      <c r="C278">
        <v>2017</v>
      </c>
      <c r="D278">
        <v>26.6</v>
      </c>
      <c r="E278" s="1">
        <v>143315158</v>
      </c>
      <c r="F278" s="1">
        <v>48736470</v>
      </c>
      <c r="G278" s="1">
        <v>44924726</v>
      </c>
      <c r="H278" s="1">
        <v>49595502</v>
      </c>
      <c r="I278" s="1">
        <v>58460</v>
      </c>
      <c r="J278">
        <v>70</v>
      </c>
      <c r="K278">
        <v>92</v>
      </c>
      <c r="L278" t="s">
        <v>14</v>
      </c>
      <c r="M278">
        <f>mlb_payrolls[[#This Row],[Wins]] + mlb_payrolls[[#This Row],[Losses]]</f>
        <v>162</v>
      </c>
      <c r="N278" s="2">
        <f>IF(mlb_payrolls[[#This Row],[Games]] &gt;0, mlb_payrolls[[#This Row],[Wins]]/mlb_payrolls[[#This Row],[Games]], "")</f>
        <v>0.43209876543209874</v>
      </c>
      <c r="O278" s="1">
        <f>IFERROR(VALUE(mlb_payrolls[[#This Row],[Total Payroll Allocations]])/VALUE(mlb_payrolls[[#This Row],[Wins]]),"")</f>
        <v>2047359.4</v>
      </c>
      <c r="P278" s="1">
        <f>SUM(mlb_payrolls[[#This Row],[Active 26-Man]],mlb_payrolls[[#This Row],[Injured]],mlb_payrolls[[#This Row],[Retained]],mlb_payrolls[[#This Row],[Buried]])</f>
        <v>143315158</v>
      </c>
      <c r="Q278" s="1">
        <f>mlb_payrolls[[#This Row],[Total Payroll Allocations]]-mlb_payrolls[[#This Row],[Payroll Parts Sum]]</f>
        <v>0</v>
      </c>
      <c r="R278" s="2">
        <f>IF(mlb_payrolls[[#This Row],[Total Payroll Allocations]]&gt;0, mlb_payrolls[[#This Row],[Active 26-Man]]/mlb_payrolls[[#This Row],[Total Payroll Allocations]],"")</f>
        <v>0.34006500554533109</v>
      </c>
      <c r="S278" s="2">
        <f>IF(mlb_payrolls[[#This Row],[Total Payroll Allocations]]&gt;0,mlb_payrolls[[#This Row],[Injured]]/mlb_payrolls[[#This Row],[Total Payroll Allocations]])</f>
        <v>0.31346807013951727</v>
      </c>
      <c r="T278" s="3">
        <f>IF(mlb_payrolls[[#This Row],[Total Payroll Allocations]]&gt;0,mlb_payrolls[[#This Row],[Retained]]/mlb_payrolls[[#This Row],[Total Payroll Allocations]])</f>
        <v>0.34605901212487239</v>
      </c>
      <c r="U278" s="3">
        <f>IF(mlb_payrolls[[#This Row],[Total Payroll Allocations]]&gt;0,mlb_payrolls[[#This Row],[Buried]]/mlb_payrolls[[#This Row],[Total Payroll Allocations]])</f>
        <v>4.079121902792725E-4</v>
      </c>
      <c r="V278">
        <f>IF(mlb_payrolls[[#This Row],[Postseason]]="No Playoffs",0,1)</f>
        <v>0</v>
      </c>
    </row>
    <row r="279" spans="1:22" x14ac:dyDescent="0.3">
      <c r="A279" t="s">
        <v>19</v>
      </c>
      <c r="B279" t="s">
        <v>20</v>
      </c>
      <c r="C279">
        <v>2012</v>
      </c>
      <c r="D279">
        <v>27.2</v>
      </c>
      <c r="E279" s="1">
        <v>143782286</v>
      </c>
      <c r="F279" s="1">
        <v>138282286</v>
      </c>
      <c r="G279" s="1">
        <v>0</v>
      </c>
      <c r="H279" s="1">
        <v>5500000</v>
      </c>
      <c r="I279" s="1">
        <v>0</v>
      </c>
      <c r="J279">
        <v>88</v>
      </c>
      <c r="K279">
        <v>74</v>
      </c>
      <c r="L279" t="s">
        <v>24</v>
      </c>
      <c r="M279">
        <f>mlb_payrolls[[#This Row],[Wins]] + mlb_payrolls[[#This Row],[Losses]]</f>
        <v>162</v>
      </c>
      <c r="N279" s="2">
        <f>IF(mlb_payrolls[[#This Row],[Games]] &gt;0, mlb_payrolls[[#This Row],[Wins]]/mlb_payrolls[[#This Row],[Games]], "")</f>
        <v>0.54320987654320985</v>
      </c>
      <c r="O279" s="1">
        <f>IFERROR(VALUE(mlb_payrolls[[#This Row],[Total Payroll Allocations]])/VALUE(mlb_payrolls[[#This Row],[Wins]]),"")</f>
        <v>1633889.6136363635</v>
      </c>
      <c r="P279" s="1">
        <f>SUM(mlb_payrolls[[#This Row],[Active 26-Man]],mlb_payrolls[[#This Row],[Injured]],mlb_payrolls[[#This Row],[Retained]],mlb_payrolls[[#This Row],[Buried]])</f>
        <v>143782286</v>
      </c>
      <c r="Q279" s="1">
        <f>mlb_payrolls[[#This Row],[Total Payroll Allocations]]-mlb_payrolls[[#This Row],[Payroll Parts Sum]]</f>
        <v>0</v>
      </c>
      <c r="R279" s="2">
        <f>IF(mlb_payrolls[[#This Row],[Total Payroll Allocations]]&gt;0, mlb_payrolls[[#This Row],[Active 26-Man]]/mlb_payrolls[[#This Row],[Total Payroll Allocations]],"")</f>
        <v>0.96174772182993395</v>
      </c>
      <c r="S279" s="2">
        <f>IF(mlb_payrolls[[#This Row],[Total Payroll Allocations]]&gt;0,mlb_payrolls[[#This Row],[Injured]]/mlb_payrolls[[#This Row],[Total Payroll Allocations]])</f>
        <v>0</v>
      </c>
      <c r="T279" s="3">
        <f>IF(mlb_payrolls[[#This Row],[Total Payroll Allocations]]&gt;0,mlb_payrolls[[#This Row],[Retained]]/mlb_payrolls[[#This Row],[Total Payroll Allocations]])</f>
        <v>3.8252278170066094E-2</v>
      </c>
      <c r="U279" s="3">
        <f>IF(mlb_payrolls[[#This Row],[Total Payroll Allocations]]&gt;0,mlb_payrolls[[#This Row],[Buried]]/mlb_payrolls[[#This Row],[Total Payroll Allocations]])</f>
        <v>0</v>
      </c>
      <c r="V279">
        <f>IF(mlb_payrolls[[#This Row],[Postseason]]="No Playoffs",0,1)</f>
        <v>1</v>
      </c>
    </row>
    <row r="280" spans="1:22" x14ac:dyDescent="0.3">
      <c r="A280" t="s">
        <v>57</v>
      </c>
      <c r="B280" t="s">
        <v>58</v>
      </c>
      <c r="C280">
        <v>2019</v>
      </c>
      <c r="D280">
        <v>28.7</v>
      </c>
      <c r="E280" s="1">
        <v>143947963</v>
      </c>
      <c r="F280" s="1">
        <v>117758736</v>
      </c>
      <c r="G280" s="1">
        <v>8328689</v>
      </c>
      <c r="H280" s="1">
        <v>17791906</v>
      </c>
      <c r="I280" s="1">
        <v>68632</v>
      </c>
      <c r="J280">
        <v>97</v>
      </c>
      <c r="K280">
        <v>65</v>
      </c>
      <c r="L280" t="s">
        <v>24</v>
      </c>
      <c r="M280">
        <f>mlb_payrolls[[#This Row],[Wins]] + mlb_payrolls[[#This Row],[Losses]]</f>
        <v>162</v>
      </c>
      <c r="N280" s="2">
        <f>IF(mlb_payrolls[[#This Row],[Games]] &gt;0, mlb_payrolls[[#This Row],[Wins]]/mlb_payrolls[[#This Row],[Games]], "")</f>
        <v>0.59876543209876543</v>
      </c>
      <c r="O280" s="1">
        <f>IFERROR(VALUE(mlb_payrolls[[#This Row],[Total Payroll Allocations]])/VALUE(mlb_payrolls[[#This Row],[Wins]]),"")</f>
        <v>1483999.6185567011</v>
      </c>
      <c r="P280" s="1">
        <f>SUM(mlb_payrolls[[#This Row],[Active 26-Man]],mlb_payrolls[[#This Row],[Injured]],mlb_payrolls[[#This Row],[Retained]],mlb_payrolls[[#This Row],[Buried]])</f>
        <v>143947963</v>
      </c>
      <c r="Q280" s="1">
        <f>mlb_payrolls[[#This Row],[Total Payroll Allocations]]-mlb_payrolls[[#This Row],[Payroll Parts Sum]]</f>
        <v>0</v>
      </c>
      <c r="R280" s="2">
        <f>IF(mlb_payrolls[[#This Row],[Total Payroll Allocations]]&gt;0, mlb_payrolls[[#This Row],[Active 26-Man]]/mlb_payrolls[[#This Row],[Total Payroll Allocations]],"")</f>
        <v>0.81806462242192335</v>
      </c>
      <c r="S280" s="2">
        <f>IF(mlb_payrolls[[#This Row],[Total Payroll Allocations]]&gt;0,mlb_payrolls[[#This Row],[Injured]]/mlb_payrolls[[#This Row],[Total Payroll Allocations]])</f>
        <v>5.785902645944354E-2</v>
      </c>
      <c r="T280" s="3">
        <f>IF(mlb_payrolls[[#This Row],[Total Payroll Allocations]]&gt;0,mlb_payrolls[[#This Row],[Retained]]/mlb_payrolls[[#This Row],[Total Payroll Allocations]])</f>
        <v>0.12359956771322982</v>
      </c>
      <c r="U280" s="3">
        <f>IF(mlb_payrolls[[#This Row],[Total Payroll Allocations]]&gt;0,mlb_payrolls[[#This Row],[Buried]]/mlb_payrolls[[#This Row],[Total Payroll Allocations]])</f>
        <v>4.7678340540324281E-4</v>
      </c>
      <c r="V280">
        <f>IF(mlb_payrolls[[#This Row],[Postseason]]="No Playoffs",0,1)</f>
        <v>1</v>
      </c>
    </row>
    <row r="281" spans="1:22" x14ac:dyDescent="0.3">
      <c r="A281" t="s">
        <v>49</v>
      </c>
      <c r="B281" t="s">
        <v>50</v>
      </c>
      <c r="C281">
        <v>2018</v>
      </c>
      <c r="D281">
        <v>28.3</v>
      </c>
      <c r="E281" s="1">
        <v>143968544</v>
      </c>
      <c r="F281" s="1">
        <v>131213168</v>
      </c>
      <c r="G281" s="1">
        <v>7545000</v>
      </c>
      <c r="H281" s="1">
        <v>4442400</v>
      </c>
      <c r="I281" s="1">
        <v>767976</v>
      </c>
      <c r="J281">
        <v>91</v>
      </c>
      <c r="K281">
        <v>72</v>
      </c>
      <c r="L281" t="s">
        <v>21</v>
      </c>
      <c r="M281">
        <f>mlb_payrolls[[#This Row],[Wins]] + mlb_payrolls[[#This Row],[Losses]]</f>
        <v>163</v>
      </c>
      <c r="N281" s="2">
        <f>IF(mlb_payrolls[[#This Row],[Games]] &gt;0, mlb_payrolls[[#This Row],[Wins]]/mlb_payrolls[[#This Row],[Games]], "")</f>
        <v>0.55828220858895705</v>
      </c>
      <c r="O281" s="1">
        <f>IFERROR(VALUE(mlb_payrolls[[#This Row],[Total Payroll Allocations]])/VALUE(mlb_payrolls[[#This Row],[Wins]]),"")</f>
        <v>1582071.912087912</v>
      </c>
      <c r="P281" s="1">
        <f>SUM(mlb_payrolls[[#This Row],[Active 26-Man]],mlb_payrolls[[#This Row],[Injured]],mlb_payrolls[[#This Row],[Retained]],mlb_payrolls[[#This Row],[Buried]])</f>
        <v>143968544</v>
      </c>
      <c r="Q281" s="1">
        <f>mlb_payrolls[[#This Row],[Total Payroll Allocations]]-mlb_payrolls[[#This Row],[Payroll Parts Sum]]</f>
        <v>0</v>
      </c>
      <c r="R281" s="2">
        <f>IF(mlb_payrolls[[#This Row],[Total Payroll Allocations]]&gt;0, mlb_payrolls[[#This Row],[Active 26-Man]]/mlb_payrolls[[#This Row],[Total Payroll Allocations]],"")</f>
        <v>0.91140164618182151</v>
      </c>
      <c r="S281" s="2">
        <f>IF(mlb_payrolls[[#This Row],[Total Payroll Allocations]]&gt;0,mlb_payrolls[[#This Row],[Injured]]/mlb_payrolls[[#This Row],[Total Payroll Allocations]])</f>
        <v>5.24072814128064E-2</v>
      </c>
      <c r="T281" s="3">
        <f>IF(mlb_payrolls[[#This Row],[Total Payroll Allocations]]&gt;0,mlb_payrolls[[#This Row],[Retained]]/mlb_payrolls[[#This Row],[Total Payroll Allocations]])</f>
        <v>3.0856740483532291E-2</v>
      </c>
      <c r="U281" s="3">
        <f>IF(mlb_payrolls[[#This Row],[Total Payroll Allocations]]&gt;0,mlb_payrolls[[#This Row],[Buried]]/mlb_payrolls[[#This Row],[Total Payroll Allocations]])</f>
        <v>5.3343319218398149E-3</v>
      </c>
      <c r="V281">
        <f>IF(mlb_payrolls[[#This Row],[Postseason]]="No Playoffs",0,1)</f>
        <v>1</v>
      </c>
    </row>
    <row r="282" spans="1:22" x14ac:dyDescent="0.3">
      <c r="A282" t="s">
        <v>61</v>
      </c>
      <c r="B282" t="s">
        <v>62</v>
      </c>
      <c r="C282">
        <v>2021</v>
      </c>
      <c r="D282">
        <v>28</v>
      </c>
      <c r="E282" s="1">
        <v>144037170</v>
      </c>
      <c r="F282" s="1">
        <v>33340389</v>
      </c>
      <c r="G282" s="1">
        <v>38534396</v>
      </c>
      <c r="H282" s="1">
        <v>71494409</v>
      </c>
      <c r="I282" s="1">
        <v>667976</v>
      </c>
      <c r="J282">
        <v>71</v>
      </c>
      <c r="K282">
        <v>91</v>
      </c>
      <c r="L282" t="s">
        <v>14</v>
      </c>
      <c r="M282">
        <f>mlb_payrolls[[#This Row],[Wins]] + mlb_payrolls[[#This Row],[Losses]]</f>
        <v>162</v>
      </c>
      <c r="N282" s="2">
        <f>IF(mlb_payrolls[[#This Row],[Games]] &gt;0, mlb_payrolls[[#This Row],[Wins]]/mlb_payrolls[[#This Row],[Games]], "")</f>
        <v>0.43827160493827161</v>
      </c>
      <c r="O282" s="1">
        <f>IFERROR(VALUE(mlb_payrolls[[#This Row],[Total Payroll Allocations]])/VALUE(mlb_payrolls[[#This Row],[Wins]]),"")</f>
        <v>2028692.5352112676</v>
      </c>
      <c r="P282" s="1">
        <f>SUM(mlb_payrolls[[#This Row],[Active 26-Man]],mlb_payrolls[[#This Row],[Injured]],mlb_payrolls[[#This Row],[Retained]],mlb_payrolls[[#This Row],[Buried]])</f>
        <v>144037170</v>
      </c>
      <c r="Q282" s="1">
        <f>mlb_payrolls[[#This Row],[Total Payroll Allocations]]-mlb_payrolls[[#This Row],[Payroll Parts Sum]]</f>
        <v>0</v>
      </c>
      <c r="R282" s="2">
        <f>IF(mlb_payrolls[[#This Row],[Total Payroll Allocations]]&gt;0, mlb_payrolls[[#This Row],[Active 26-Man]]/mlb_payrolls[[#This Row],[Total Payroll Allocations]],"")</f>
        <v>0.23147073078428299</v>
      </c>
      <c r="S282" s="2">
        <f>IF(mlb_payrolls[[#This Row],[Total Payroll Allocations]]&gt;0,mlb_payrolls[[#This Row],[Injured]]/mlb_payrolls[[#This Row],[Total Payroll Allocations]])</f>
        <v>0.26753091580458016</v>
      </c>
      <c r="T282" s="3">
        <f>IF(mlb_payrolls[[#This Row],[Total Payroll Allocations]]&gt;0,mlb_payrolls[[#This Row],[Retained]]/mlb_payrolls[[#This Row],[Total Payroll Allocations]])</f>
        <v>0.49636082825009681</v>
      </c>
      <c r="U282" s="3">
        <f>IF(mlb_payrolls[[#This Row],[Total Payroll Allocations]]&gt;0,mlb_payrolls[[#This Row],[Buried]]/mlb_payrolls[[#This Row],[Total Payroll Allocations]])</f>
        <v>4.6375251610400285E-3</v>
      </c>
      <c r="V282">
        <f>IF(mlb_payrolls[[#This Row],[Postseason]]="No Playoffs",0,1)</f>
        <v>0</v>
      </c>
    </row>
    <row r="283" spans="1:22" x14ac:dyDescent="0.3">
      <c r="A283" t="s">
        <v>39</v>
      </c>
      <c r="B283" t="s">
        <v>40</v>
      </c>
      <c r="C283">
        <v>2019</v>
      </c>
      <c r="D283">
        <v>26.9</v>
      </c>
      <c r="E283" s="1">
        <v>144388309</v>
      </c>
      <c r="F283" s="1">
        <v>84703863</v>
      </c>
      <c r="G283" s="1">
        <v>5638913</v>
      </c>
      <c r="H283" s="1">
        <v>51230092</v>
      </c>
      <c r="I283" s="1">
        <v>1015441</v>
      </c>
      <c r="J283">
        <v>68</v>
      </c>
      <c r="K283">
        <v>94</v>
      </c>
      <c r="L283" t="s">
        <v>14</v>
      </c>
      <c r="M283">
        <f>mlb_payrolls[[#This Row],[Wins]] + mlb_payrolls[[#This Row],[Losses]]</f>
        <v>162</v>
      </c>
      <c r="N283" s="2">
        <f>IF(mlb_payrolls[[#This Row],[Games]] &gt;0, mlb_payrolls[[#This Row],[Wins]]/mlb_payrolls[[#This Row],[Games]], "")</f>
        <v>0.41975308641975306</v>
      </c>
      <c r="O283" s="1">
        <f>IFERROR(VALUE(mlb_payrolls[[#This Row],[Total Payroll Allocations]])/VALUE(mlb_payrolls[[#This Row],[Wins]]),"")</f>
        <v>2123357.4852941176</v>
      </c>
      <c r="P283" s="1">
        <f>SUM(mlb_payrolls[[#This Row],[Active 26-Man]],mlb_payrolls[[#This Row],[Injured]],mlb_payrolls[[#This Row],[Retained]],mlb_payrolls[[#This Row],[Buried]])</f>
        <v>142588309</v>
      </c>
      <c r="Q283" s="1">
        <f>mlb_payrolls[[#This Row],[Total Payroll Allocations]]-mlb_payrolls[[#This Row],[Payroll Parts Sum]]</f>
        <v>1800000</v>
      </c>
      <c r="R283" s="2">
        <f>IF(mlb_payrolls[[#This Row],[Total Payroll Allocations]]&gt;0, mlb_payrolls[[#This Row],[Active 26-Man]]/mlb_payrolls[[#This Row],[Total Payroll Allocations]],"")</f>
        <v>0.58663934487936975</v>
      </c>
      <c r="S283" s="2">
        <f>IF(mlb_payrolls[[#This Row],[Total Payroll Allocations]]&gt;0,mlb_payrolls[[#This Row],[Injured]]/mlb_payrolls[[#This Row],[Total Payroll Allocations]])</f>
        <v>3.9053805942141757E-2</v>
      </c>
      <c r="T283" s="3">
        <f>IF(mlb_payrolls[[#This Row],[Total Payroll Allocations]]&gt;0,mlb_payrolls[[#This Row],[Retained]]/mlb_payrolls[[#This Row],[Total Payroll Allocations]])</f>
        <v>0.35480775663076713</v>
      </c>
      <c r="U283" s="3">
        <f>IF(mlb_payrolls[[#This Row],[Total Payroll Allocations]]&gt;0,mlb_payrolls[[#This Row],[Buried]]/mlb_payrolls[[#This Row],[Total Payroll Allocations]])</f>
        <v>7.0327092756519508E-3</v>
      </c>
      <c r="V283">
        <f>IF(mlb_payrolls[[#This Row],[Postseason]]="No Playoffs",0,1)</f>
        <v>0</v>
      </c>
    </row>
    <row r="284" spans="1:22" x14ac:dyDescent="0.3">
      <c r="A284" t="s">
        <v>33</v>
      </c>
      <c r="B284" t="s">
        <v>34</v>
      </c>
      <c r="C284">
        <v>2021</v>
      </c>
      <c r="D284">
        <v>28.4</v>
      </c>
      <c r="E284" s="1">
        <v>144415187</v>
      </c>
      <c r="F284" s="1">
        <v>50076145</v>
      </c>
      <c r="G284" s="1">
        <v>34877122</v>
      </c>
      <c r="H284" s="1">
        <v>57061332</v>
      </c>
      <c r="I284" s="1">
        <v>2400588</v>
      </c>
      <c r="J284">
        <v>65</v>
      </c>
      <c r="K284">
        <v>97</v>
      </c>
      <c r="L284" t="s">
        <v>14</v>
      </c>
      <c r="M284">
        <f>mlb_payrolls[[#This Row],[Wins]] + mlb_payrolls[[#This Row],[Losses]]</f>
        <v>162</v>
      </c>
      <c r="N284" s="2">
        <f>IF(mlb_payrolls[[#This Row],[Games]] &gt;0, mlb_payrolls[[#This Row],[Wins]]/mlb_payrolls[[#This Row],[Games]], "")</f>
        <v>0.40123456790123457</v>
      </c>
      <c r="O284" s="1">
        <f>IFERROR(VALUE(mlb_payrolls[[#This Row],[Total Payroll Allocations]])/VALUE(mlb_payrolls[[#This Row],[Wins]]),"")</f>
        <v>2221772.1076923078</v>
      </c>
      <c r="P284" s="1">
        <f>SUM(mlb_payrolls[[#This Row],[Active 26-Man]],mlb_payrolls[[#This Row],[Injured]],mlb_payrolls[[#This Row],[Retained]],mlb_payrolls[[#This Row],[Buried]])</f>
        <v>144415187</v>
      </c>
      <c r="Q284" s="1">
        <f>mlb_payrolls[[#This Row],[Total Payroll Allocations]]-mlb_payrolls[[#This Row],[Payroll Parts Sum]]</f>
        <v>0</v>
      </c>
      <c r="R284" s="2">
        <f>IF(mlb_payrolls[[#This Row],[Total Payroll Allocations]]&gt;0, mlb_payrolls[[#This Row],[Active 26-Man]]/mlb_payrolls[[#This Row],[Total Payroll Allocations]],"")</f>
        <v>0.34675123884304493</v>
      </c>
      <c r="S284" s="2">
        <f>IF(mlb_payrolls[[#This Row],[Total Payroll Allocations]]&gt;0,mlb_payrolls[[#This Row],[Injured]]/mlb_payrolls[[#This Row],[Total Payroll Allocations]])</f>
        <v>0.24150591585634273</v>
      </c>
      <c r="T284" s="3">
        <f>IF(mlb_payrolls[[#This Row],[Total Payroll Allocations]]&gt;0,mlb_payrolls[[#This Row],[Retained]]/mlb_payrolls[[#This Row],[Total Payroll Allocations]])</f>
        <v>0.39512002293775378</v>
      </c>
      <c r="U284" s="3">
        <f>IF(mlb_payrolls[[#This Row],[Total Payroll Allocations]]&gt;0,mlb_payrolls[[#This Row],[Buried]]/mlb_payrolls[[#This Row],[Total Payroll Allocations]])</f>
        <v>1.6622822362858555E-2</v>
      </c>
      <c r="V284">
        <f>IF(mlb_payrolls[[#This Row],[Postseason]]="No Playoffs",0,1)</f>
        <v>0</v>
      </c>
    </row>
    <row r="285" spans="1:22" x14ac:dyDescent="0.3">
      <c r="A285" t="s">
        <v>45</v>
      </c>
      <c r="B285" t="s">
        <v>46</v>
      </c>
      <c r="C285">
        <v>2017</v>
      </c>
      <c r="D285">
        <v>27.1</v>
      </c>
      <c r="E285" s="1">
        <v>145256085</v>
      </c>
      <c r="F285" s="1">
        <v>104261954</v>
      </c>
      <c r="G285" s="1">
        <v>6935000</v>
      </c>
      <c r="H285" s="1">
        <v>29772125</v>
      </c>
      <c r="I285" s="1">
        <v>587006</v>
      </c>
      <c r="J285">
        <v>83</v>
      </c>
      <c r="K285">
        <v>79</v>
      </c>
      <c r="L285" t="s">
        <v>14</v>
      </c>
      <c r="M285">
        <f>mlb_payrolls[[#This Row],[Wins]] + mlb_payrolls[[#This Row],[Losses]]</f>
        <v>162</v>
      </c>
      <c r="N285" s="2">
        <f>IF(mlb_payrolls[[#This Row],[Games]] &gt;0, mlb_payrolls[[#This Row],[Wins]]/mlb_payrolls[[#This Row],[Games]], "")</f>
        <v>0.51234567901234573</v>
      </c>
      <c r="O285" s="1">
        <f>IFERROR(VALUE(mlb_payrolls[[#This Row],[Total Payroll Allocations]])/VALUE(mlb_payrolls[[#This Row],[Wins]]),"")</f>
        <v>1750073.313253012</v>
      </c>
      <c r="P285" s="1">
        <f>SUM(mlb_payrolls[[#This Row],[Active 26-Man]],mlb_payrolls[[#This Row],[Injured]],mlb_payrolls[[#This Row],[Retained]],mlb_payrolls[[#This Row],[Buried]])</f>
        <v>141556085</v>
      </c>
      <c r="Q285" s="1">
        <f>mlb_payrolls[[#This Row],[Total Payroll Allocations]]-mlb_payrolls[[#This Row],[Payroll Parts Sum]]</f>
        <v>3700000</v>
      </c>
      <c r="R285" s="2">
        <f>IF(mlb_payrolls[[#This Row],[Total Payroll Allocations]]&gt;0, mlb_payrolls[[#This Row],[Active 26-Man]]/mlb_payrolls[[#This Row],[Total Payroll Allocations]],"")</f>
        <v>0.71778028438533226</v>
      </c>
      <c r="S285" s="2">
        <f>IF(mlb_payrolls[[#This Row],[Total Payroll Allocations]]&gt;0,mlb_payrolls[[#This Row],[Injured]]/mlb_payrolls[[#This Row],[Total Payroll Allocations]])</f>
        <v>4.7743266659018103E-2</v>
      </c>
      <c r="T285" s="3">
        <f>IF(mlb_payrolls[[#This Row],[Total Payroll Allocations]]&gt;0,mlb_payrolls[[#This Row],[Retained]]/mlb_payrolls[[#This Row],[Total Payroll Allocations]])</f>
        <v>0.20496301411400425</v>
      </c>
      <c r="U285" s="3">
        <f>IF(mlb_payrolls[[#This Row],[Total Payroll Allocations]]&gt;0,mlb_payrolls[[#This Row],[Buried]]/mlb_payrolls[[#This Row],[Total Payroll Allocations]])</f>
        <v>4.0411800992708842E-3</v>
      </c>
      <c r="V285">
        <f>IF(mlb_payrolls[[#This Row],[Postseason]]="No Playoffs",0,1)</f>
        <v>0</v>
      </c>
    </row>
    <row r="286" spans="1:22" x14ac:dyDescent="0.3">
      <c r="A286" t="s">
        <v>49</v>
      </c>
      <c r="B286" t="s">
        <v>50</v>
      </c>
      <c r="C286">
        <v>2024</v>
      </c>
      <c r="D286">
        <v>26.8</v>
      </c>
      <c r="E286" s="1">
        <v>146100965</v>
      </c>
      <c r="F286" s="1">
        <v>79534485</v>
      </c>
      <c r="G286" s="1">
        <v>51060000</v>
      </c>
      <c r="H286" s="1">
        <v>13132583</v>
      </c>
      <c r="I286" s="1">
        <v>2373897</v>
      </c>
      <c r="J286">
        <v>61</v>
      </c>
      <c r="K286">
        <v>101</v>
      </c>
      <c r="L286" t="s">
        <v>14</v>
      </c>
      <c r="M286">
        <f>mlb_payrolls[[#This Row],[Wins]] + mlb_payrolls[[#This Row],[Losses]]</f>
        <v>162</v>
      </c>
      <c r="N286" s="2">
        <f>IF(mlb_payrolls[[#This Row],[Games]] &gt;0, mlb_payrolls[[#This Row],[Wins]]/mlb_payrolls[[#This Row],[Games]], "")</f>
        <v>0.37654320987654322</v>
      </c>
      <c r="O286" s="1">
        <f>IFERROR(VALUE(mlb_payrolls[[#This Row],[Total Payroll Allocations]])/VALUE(mlb_payrolls[[#This Row],[Wins]]),"")</f>
        <v>2395097.7868852457</v>
      </c>
      <c r="P286" s="1">
        <f>SUM(mlb_payrolls[[#This Row],[Active 26-Man]],mlb_payrolls[[#This Row],[Injured]],mlb_payrolls[[#This Row],[Retained]],mlb_payrolls[[#This Row],[Buried]])</f>
        <v>146100965</v>
      </c>
      <c r="Q286" s="1">
        <f>mlb_payrolls[[#This Row],[Total Payroll Allocations]]-mlb_payrolls[[#This Row],[Payroll Parts Sum]]</f>
        <v>0</v>
      </c>
      <c r="R286" s="2">
        <f>IF(mlb_payrolls[[#This Row],[Total Payroll Allocations]]&gt;0, mlb_payrolls[[#This Row],[Active 26-Man]]/mlb_payrolls[[#This Row],[Total Payroll Allocations]],"")</f>
        <v>0.54438028523630899</v>
      </c>
      <c r="S286" s="2">
        <f>IF(mlb_payrolls[[#This Row],[Total Payroll Allocations]]&gt;0,mlb_payrolls[[#This Row],[Injured]]/mlb_payrolls[[#This Row],[Total Payroll Allocations]])</f>
        <v>0.34948434461059175</v>
      </c>
      <c r="T286" s="3">
        <f>IF(mlb_payrolls[[#This Row],[Total Payroll Allocations]]&gt;0,mlb_payrolls[[#This Row],[Retained]]/mlb_payrolls[[#This Row],[Total Payroll Allocations]])</f>
        <v>8.9887038049338008E-2</v>
      </c>
      <c r="U286" s="3">
        <f>IF(mlb_payrolls[[#This Row],[Total Payroll Allocations]]&gt;0,mlb_payrolls[[#This Row],[Buried]]/mlb_payrolls[[#This Row],[Total Payroll Allocations]])</f>
        <v>1.6248332103761257E-2</v>
      </c>
      <c r="V286">
        <f>IF(mlb_payrolls[[#This Row],[Postseason]]="No Playoffs",0,1)</f>
        <v>0</v>
      </c>
    </row>
    <row r="287" spans="1:22" x14ac:dyDescent="0.3">
      <c r="A287" t="s">
        <v>73</v>
      </c>
      <c r="B287" t="s">
        <v>74</v>
      </c>
      <c r="C287">
        <v>2019</v>
      </c>
      <c r="D287">
        <v>28.1</v>
      </c>
      <c r="E287" s="1">
        <v>146538234</v>
      </c>
      <c r="F287" s="1">
        <v>104490573</v>
      </c>
      <c r="G287" s="1">
        <v>16519542</v>
      </c>
      <c r="H287" s="1">
        <v>25220967</v>
      </c>
      <c r="I287" s="1">
        <v>307152</v>
      </c>
      <c r="J287">
        <v>86</v>
      </c>
      <c r="K287">
        <v>76</v>
      </c>
      <c r="L287" t="s">
        <v>14</v>
      </c>
      <c r="M287">
        <f>mlb_payrolls[[#This Row],[Wins]] + mlb_payrolls[[#This Row],[Losses]]</f>
        <v>162</v>
      </c>
      <c r="N287" s="2">
        <f>IF(mlb_payrolls[[#This Row],[Games]] &gt;0, mlb_payrolls[[#This Row],[Wins]]/mlb_payrolls[[#This Row],[Games]], "")</f>
        <v>0.53086419753086422</v>
      </c>
      <c r="O287" s="1">
        <f>IFERROR(VALUE(mlb_payrolls[[#This Row],[Total Payroll Allocations]])/VALUE(mlb_payrolls[[#This Row],[Wins]]),"")</f>
        <v>1703932.953488372</v>
      </c>
      <c r="P287" s="1">
        <f>SUM(mlb_payrolls[[#This Row],[Active 26-Man]],mlb_payrolls[[#This Row],[Injured]],mlb_payrolls[[#This Row],[Retained]],mlb_payrolls[[#This Row],[Buried]])</f>
        <v>146538234</v>
      </c>
      <c r="Q287" s="1">
        <f>mlb_payrolls[[#This Row],[Total Payroll Allocations]]-mlb_payrolls[[#This Row],[Payroll Parts Sum]]</f>
        <v>0</v>
      </c>
      <c r="R287" s="2">
        <f>IF(mlb_payrolls[[#This Row],[Total Payroll Allocations]]&gt;0, mlb_payrolls[[#This Row],[Active 26-Man]]/mlb_payrolls[[#This Row],[Total Payroll Allocations]],"")</f>
        <v>0.7130601355547932</v>
      </c>
      <c r="S287" s="2">
        <f>IF(mlb_payrolls[[#This Row],[Total Payroll Allocations]]&gt;0,mlb_payrolls[[#This Row],[Injured]]/mlb_payrolls[[#This Row],[Total Payroll Allocations]])</f>
        <v>0.11273195772237844</v>
      </c>
      <c r="T287" s="3">
        <f>IF(mlb_payrolls[[#This Row],[Total Payroll Allocations]]&gt;0,mlb_payrolls[[#This Row],[Retained]]/mlb_payrolls[[#This Row],[Total Payroll Allocations]])</f>
        <v>0.17211185307446791</v>
      </c>
      <c r="U287" s="3">
        <f>IF(mlb_payrolls[[#This Row],[Total Payroll Allocations]]&gt;0,mlb_payrolls[[#This Row],[Buried]]/mlb_payrolls[[#This Row],[Total Payroll Allocations]])</f>
        <v>2.0960536483604682E-3</v>
      </c>
      <c r="V287">
        <f>IF(mlb_payrolls[[#This Row],[Postseason]]="No Playoffs",0,1)</f>
        <v>0</v>
      </c>
    </row>
    <row r="288" spans="1:22" x14ac:dyDescent="0.3">
      <c r="A288" t="s">
        <v>59</v>
      </c>
      <c r="B288" t="s">
        <v>60</v>
      </c>
      <c r="C288">
        <v>2011</v>
      </c>
      <c r="D288">
        <v>27.7</v>
      </c>
      <c r="E288" s="1">
        <v>146648559</v>
      </c>
      <c r="F288" s="1">
        <v>133613959</v>
      </c>
      <c r="G288" s="1">
        <v>0</v>
      </c>
      <c r="H288" s="1">
        <v>13034600</v>
      </c>
      <c r="I288" s="1">
        <v>0</v>
      </c>
      <c r="J288">
        <v>86</v>
      </c>
      <c r="K288">
        <v>76</v>
      </c>
      <c r="L288" t="s">
        <v>14</v>
      </c>
      <c r="M288">
        <f>mlb_payrolls[[#This Row],[Wins]] + mlb_payrolls[[#This Row],[Losses]]</f>
        <v>162</v>
      </c>
      <c r="N288" s="2">
        <f>IF(mlb_payrolls[[#This Row],[Games]] &gt;0, mlb_payrolls[[#This Row],[Wins]]/mlb_payrolls[[#This Row],[Games]], "")</f>
        <v>0.53086419753086422</v>
      </c>
      <c r="O288" s="1">
        <f>IFERROR(VALUE(mlb_payrolls[[#This Row],[Total Payroll Allocations]])/VALUE(mlb_payrolls[[#This Row],[Wins]]),"")</f>
        <v>1705215.8023255814</v>
      </c>
      <c r="P288" s="1">
        <f>SUM(mlb_payrolls[[#This Row],[Active 26-Man]],mlb_payrolls[[#This Row],[Injured]],mlb_payrolls[[#This Row],[Retained]],mlb_payrolls[[#This Row],[Buried]])</f>
        <v>146648559</v>
      </c>
      <c r="Q288" s="1">
        <f>mlb_payrolls[[#This Row],[Total Payroll Allocations]]-mlb_payrolls[[#This Row],[Payroll Parts Sum]]</f>
        <v>0</v>
      </c>
      <c r="R288" s="2">
        <f>IF(mlb_payrolls[[#This Row],[Total Payroll Allocations]]&gt;0, mlb_payrolls[[#This Row],[Active 26-Man]]/mlb_payrolls[[#This Row],[Total Payroll Allocations]],"")</f>
        <v>0.91111675362592548</v>
      </c>
      <c r="S288" s="2">
        <f>IF(mlb_payrolls[[#This Row],[Total Payroll Allocations]]&gt;0,mlb_payrolls[[#This Row],[Injured]]/mlb_payrolls[[#This Row],[Total Payroll Allocations]])</f>
        <v>0</v>
      </c>
      <c r="T288" s="3">
        <f>IF(mlb_payrolls[[#This Row],[Total Payroll Allocations]]&gt;0,mlb_payrolls[[#This Row],[Retained]]/mlb_payrolls[[#This Row],[Total Payroll Allocations]])</f>
        <v>8.8883246374074493E-2</v>
      </c>
      <c r="U288" s="3">
        <f>IF(mlb_payrolls[[#This Row],[Total Payroll Allocations]]&gt;0,mlb_payrolls[[#This Row],[Buried]]/mlb_payrolls[[#This Row],[Total Payroll Allocations]])</f>
        <v>0</v>
      </c>
      <c r="V288">
        <f>IF(mlb_payrolls[[#This Row],[Postseason]]="No Playoffs",0,1)</f>
        <v>0</v>
      </c>
    </row>
    <row r="289" spans="1:22" x14ac:dyDescent="0.3">
      <c r="A289" t="s">
        <v>39</v>
      </c>
      <c r="B289" t="s">
        <v>40</v>
      </c>
      <c r="C289">
        <v>2016</v>
      </c>
      <c r="D289">
        <v>28.6</v>
      </c>
      <c r="E289" s="1">
        <v>147003780</v>
      </c>
      <c r="F289" s="1">
        <v>132303221</v>
      </c>
      <c r="G289" s="1">
        <v>4036934</v>
      </c>
      <c r="H289" s="1">
        <v>9931590</v>
      </c>
      <c r="I289" s="1">
        <v>732035</v>
      </c>
      <c r="J289">
        <v>86</v>
      </c>
      <c r="K289">
        <v>76</v>
      </c>
      <c r="L289" t="s">
        <v>14</v>
      </c>
      <c r="M289">
        <f>mlb_payrolls[[#This Row],[Wins]] + mlb_payrolls[[#This Row],[Losses]]</f>
        <v>162</v>
      </c>
      <c r="N289" s="2">
        <f>IF(mlb_payrolls[[#This Row],[Games]] &gt;0, mlb_payrolls[[#This Row],[Wins]]/mlb_payrolls[[#This Row],[Games]], "")</f>
        <v>0.53086419753086422</v>
      </c>
      <c r="O289" s="1">
        <f>IFERROR(VALUE(mlb_payrolls[[#This Row],[Total Payroll Allocations]])/VALUE(mlb_payrolls[[#This Row],[Wins]]),"")</f>
        <v>1709346.2790697673</v>
      </c>
      <c r="P289" s="1">
        <f>SUM(mlb_payrolls[[#This Row],[Active 26-Man]],mlb_payrolls[[#This Row],[Injured]],mlb_payrolls[[#This Row],[Retained]],mlb_payrolls[[#This Row],[Buried]])</f>
        <v>147003780</v>
      </c>
      <c r="Q289" s="1">
        <f>mlb_payrolls[[#This Row],[Total Payroll Allocations]]-mlb_payrolls[[#This Row],[Payroll Parts Sum]]</f>
        <v>0</v>
      </c>
      <c r="R289" s="2">
        <f>IF(mlb_payrolls[[#This Row],[Total Payroll Allocations]]&gt;0, mlb_payrolls[[#This Row],[Active 26-Man]]/mlb_payrolls[[#This Row],[Total Payroll Allocations]],"")</f>
        <v>0.89999876873914397</v>
      </c>
      <c r="S289" s="2">
        <f>IF(mlb_payrolls[[#This Row],[Total Payroll Allocations]]&gt;0,mlb_payrolls[[#This Row],[Injured]]/mlb_payrolls[[#This Row],[Total Payroll Allocations]])</f>
        <v>2.7461429903367109E-2</v>
      </c>
      <c r="T289" s="3">
        <f>IF(mlb_payrolls[[#This Row],[Total Payroll Allocations]]&gt;0,mlb_payrolls[[#This Row],[Retained]]/mlb_payrolls[[#This Row],[Total Payroll Allocations]])</f>
        <v>6.7560099474993099E-2</v>
      </c>
      <c r="U289" s="3">
        <f>IF(mlb_payrolls[[#This Row],[Total Payroll Allocations]]&gt;0,mlb_payrolls[[#This Row],[Buried]]/mlb_payrolls[[#This Row],[Total Payroll Allocations]])</f>
        <v>4.9797018824958104E-3</v>
      </c>
      <c r="V289">
        <f>IF(mlb_payrolls[[#This Row],[Postseason]]="No Playoffs",0,1)</f>
        <v>0</v>
      </c>
    </row>
    <row r="290" spans="1:22" x14ac:dyDescent="0.3">
      <c r="A290" t="s">
        <v>73</v>
      </c>
      <c r="B290" t="s">
        <v>74</v>
      </c>
      <c r="C290">
        <v>2016</v>
      </c>
      <c r="D290">
        <v>28.1</v>
      </c>
      <c r="E290" s="1">
        <v>147744060</v>
      </c>
      <c r="F290" s="1">
        <v>101803832</v>
      </c>
      <c r="G290" s="1">
        <v>39822605</v>
      </c>
      <c r="H290" s="1">
        <v>6117623</v>
      </c>
      <c r="I290" s="1">
        <v>0</v>
      </c>
      <c r="J290">
        <v>87</v>
      </c>
      <c r="K290">
        <v>75</v>
      </c>
      <c r="L290" t="s">
        <v>21</v>
      </c>
      <c r="M290">
        <f>mlb_payrolls[[#This Row],[Wins]] + mlb_payrolls[[#This Row],[Losses]]</f>
        <v>162</v>
      </c>
      <c r="N290" s="2">
        <f>IF(mlb_payrolls[[#This Row],[Games]] &gt;0, mlb_payrolls[[#This Row],[Wins]]/mlb_payrolls[[#This Row],[Games]], "")</f>
        <v>0.53703703703703709</v>
      </c>
      <c r="O290" s="1">
        <f>IFERROR(VALUE(mlb_payrolls[[#This Row],[Total Payroll Allocations]])/VALUE(mlb_payrolls[[#This Row],[Wins]]),"")</f>
        <v>1698207.5862068965</v>
      </c>
      <c r="P290" s="1">
        <f>SUM(mlb_payrolls[[#This Row],[Active 26-Man]],mlb_payrolls[[#This Row],[Injured]],mlb_payrolls[[#This Row],[Retained]],mlb_payrolls[[#This Row],[Buried]])</f>
        <v>147744060</v>
      </c>
      <c r="Q290" s="1">
        <f>mlb_payrolls[[#This Row],[Total Payroll Allocations]]-mlb_payrolls[[#This Row],[Payroll Parts Sum]]</f>
        <v>0</v>
      </c>
      <c r="R290" s="2">
        <f>IF(mlb_payrolls[[#This Row],[Total Payroll Allocations]]&gt;0, mlb_payrolls[[#This Row],[Active 26-Man]]/mlb_payrolls[[#This Row],[Total Payroll Allocations]],"")</f>
        <v>0.68905532987248352</v>
      </c>
      <c r="S290" s="2">
        <f>IF(mlb_payrolls[[#This Row],[Total Payroll Allocations]]&gt;0,mlb_payrolls[[#This Row],[Injured]]/mlb_payrolls[[#This Row],[Total Payroll Allocations]])</f>
        <v>0.26953777363367432</v>
      </c>
      <c r="T290" s="3">
        <f>IF(mlb_payrolls[[#This Row],[Total Payroll Allocations]]&gt;0,mlb_payrolls[[#This Row],[Retained]]/mlb_payrolls[[#This Row],[Total Payroll Allocations]])</f>
        <v>4.1406896493842119E-2</v>
      </c>
      <c r="U290" s="3">
        <f>IF(mlb_payrolls[[#This Row],[Total Payroll Allocations]]&gt;0,mlb_payrolls[[#This Row],[Buried]]/mlb_payrolls[[#This Row],[Total Payroll Allocations]])</f>
        <v>0</v>
      </c>
      <c r="V290">
        <f>IF(mlb_payrolls[[#This Row],[Postseason]]="No Playoffs",0,1)</f>
        <v>1</v>
      </c>
    </row>
    <row r="291" spans="1:22" x14ac:dyDescent="0.3">
      <c r="A291" t="s">
        <v>39</v>
      </c>
      <c r="B291" t="s">
        <v>40</v>
      </c>
      <c r="C291">
        <v>2024</v>
      </c>
      <c r="D291">
        <v>28.5</v>
      </c>
      <c r="E291" s="1">
        <v>147930632</v>
      </c>
      <c r="F291" s="1">
        <v>93668820</v>
      </c>
      <c r="G291" s="1">
        <v>29288727</v>
      </c>
      <c r="H291" s="1">
        <v>28968591</v>
      </c>
      <c r="I291" s="1">
        <v>2004494</v>
      </c>
      <c r="J291">
        <v>85</v>
      </c>
      <c r="K291">
        <v>77</v>
      </c>
      <c r="L291" t="s">
        <v>14</v>
      </c>
      <c r="M291">
        <f>mlb_payrolls[[#This Row],[Wins]] + mlb_payrolls[[#This Row],[Losses]]</f>
        <v>162</v>
      </c>
      <c r="N291" s="2">
        <f>IF(mlb_payrolls[[#This Row],[Games]] &gt;0, mlb_payrolls[[#This Row],[Wins]]/mlb_payrolls[[#This Row],[Games]], "")</f>
        <v>0.52469135802469136</v>
      </c>
      <c r="O291" s="1">
        <f>IFERROR(VALUE(mlb_payrolls[[#This Row],[Total Payroll Allocations]])/VALUE(mlb_payrolls[[#This Row],[Wins]]),"")</f>
        <v>1740360.3764705881</v>
      </c>
      <c r="P291" s="1">
        <f>SUM(mlb_payrolls[[#This Row],[Active 26-Man]],mlb_payrolls[[#This Row],[Injured]],mlb_payrolls[[#This Row],[Retained]],mlb_payrolls[[#This Row],[Buried]])</f>
        <v>153930632</v>
      </c>
      <c r="Q291" s="1">
        <f>mlb_payrolls[[#This Row],[Total Payroll Allocations]]-mlb_payrolls[[#This Row],[Payroll Parts Sum]]</f>
        <v>-6000000</v>
      </c>
      <c r="R291" s="2">
        <f>IF(mlb_payrolls[[#This Row],[Total Payroll Allocations]]&gt;0, mlb_payrolls[[#This Row],[Active 26-Man]]/mlb_payrolls[[#This Row],[Total Payroll Allocations]],"")</f>
        <v>0.63319421227105954</v>
      </c>
      <c r="S291" s="2">
        <f>IF(mlb_payrolls[[#This Row],[Total Payroll Allocations]]&gt;0,mlb_payrolls[[#This Row],[Injured]]/mlb_payrolls[[#This Row],[Total Payroll Allocations]])</f>
        <v>0.19798960231576648</v>
      </c>
      <c r="T291" s="3">
        <f>IF(mlb_payrolls[[#This Row],[Total Payroll Allocations]]&gt;0,mlb_payrolls[[#This Row],[Retained]]/mlb_payrolls[[#This Row],[Total Payroll Allocations]])</f>
        <v>0.19582550691732326</v>
      </c>
      <c r="U291" s="3">
        <f>IF(mlb_payrolls[[#This Row],[Total Payroll Allocations]]&gt;0,mlb_payrolls[[#This Row],[Buried]]/mlb_payrolls[[#This Row],[Total Payroll Allocations]])</f>
        <v>1.3550229407523927E-2</v>
      </c>
      <c r="V291">
        <f>IF(mlb_payrolls[[#This Row],[Postseason]]="No Playoffs",0,1)</f>
        <v>0</v>
      </c>
    </row>
    <row r="292" spans="1:22" x14ac:dyDescent="0.3">
      <c r="A292" t="s">
        <v>31</v>
      </c>
      <c r="B292" t="s">
        <v>32</v>
      </c>
      <c r="C292">
        <v>2017</v>
      </c>
      <c r="D292">
        <v>28.3</v>
      </c>
      <c r="E292" s="1">
        <v>148227822</v>
      </c>
      <c r="F292" s="1">
        <v>120678691</v>
      </c>
      <c r="G292" s="1">
        <v>1046749</v>
      </c>
      <c r="H292" s="1">
        <v>19965515</v>
      </c>
      <c r="I292" s="1">
        <v>1536867</v>
      </c>
      <c r="J292">
        <v>80</v>
      </c>
      <c r="K292">
        <v>82</v>
      </c>
      <c r="L292" t="s">
        <v>14</v>
      </c>
      <c r="M292">
        <f>mlb_payrolls[[#This Row],[Wins]] + mlb_payrolls[[#This Row],[Losses]]</f>
        <v>162</v>
      </c>
      <c r="N292" s="2">
        <f>IF(mlb_payrolls[[#This Row],[Games]] &gt;0, mlb_payrolls[[#This Row],[Wins]]/mlb_payrolls[[#This Row],[Games]], "")</f>
        <v>0.49382716049382713</v>
      </c>
      <c r="O292" s="1">
        <f>IFERROR(VALUE(mlb_payrolls[[#This Row],[Total Payroll Allocations]])/VALUE(mlb_payrolls[[#This Row],[Wins]]),"")</f>
        <v>1852847.7749999999</v>
      </c>
      <c r="P292" s="1">
        <f>SUM(mlb_payrolls[[#This Row],[Active 26-Man]],mlb_payrolls[[#This Row],[Injured]],mlb_payrolls[[#This Row],[Retained]],mlb_payrolls[[#This Row],[Buried]])</f>
        <v>143227822</v>
      </c>
      <c r="Q292" s="1">
        <f>mlb_payrolls[[#This Row],[Total Payroll Allocations]]-mlb_payrolls[[#This Row],[Payroll Parts Sum]]</f>
        <v>5000000</v>
      </c>
      <c r="R292" s="2">
        <f>IF(mlb_payrolls[[#This Row],[Total Payroll Allocations]]&gt;0, mlb_payrolls[[#This Row],[Active 26-Man]]/mlb_payrolls[[#This Row],[Total Payroll Allocations]],"")</f>
        <v>0.81414331919415239</v>
      </c>
      <c r="S292" s="2">
        <f>IF(mlb_payrolls[[#This Row],[Total Payroll Allocations]]&gt;0,mlb_payrolls[[#This Row],[Injured]]/mlb_payrolls[[#This Row],[Total Payroll Allocations]])</f>
        <v>7.06175794716865E-3</v>
      </c>
      <c r="T292" s="3">
        <f>IF(mlb_payrolls[[#This Row],[Total Payroll Allocations]]&gt;0,mlb_payrolls[[#This Row],[Retained]]/mlb_payrolls[[#This Row],[Total Payroll Allocations]])</f>
        <v>0.13469478759527345</v>
      </c>
      <c r="U292" s="3">
        <f>IF(mlb_payrolls[[#This Row],[Total Payroll Allocations]]&gt;0,mlb_payrolls[[#This Row],[Buried]]/mlb_payrolls[[#This Row],[Total Payroll Allocations]])</f>
        <v>1.03682762066085E-2</v>
      </c>
      <c r="V292">
        <f>IF(mlb_payrolls[[#This Row],[Postseason]]="No Playoffs",0,1)</f>
        <v>0</v>
      </c>
    </row>
    <row r="293" spans="1:22" x14ac:dyDescent="0.3">
      <c r="A293" t="s">
        <v>67</v>
      </c>
      <c r="B293" t="s">
        <v>68</v>
      </c>
      <c r="C293">
        <v>2016</v>
      </c>
      <c r="D293">
        <v>29.7</v>
      </c>
      <c r="E293" s="1">
        <v>148385479</v>
      </c>
      <c r="F293" s="1">
        <v>134332539</v>
      </c>
      <c r="G293" s="1">
        <v>1000000</v>
      </c>
      <c r="H293" s="1">
        <v>12644767</v>
      </c>
      <c r="I293" s="1">
        <v>565489</v>
      </c>
      <c r="J293">
        <v>89</v>
      </c>
      <c r="K293">
        <v>73</v>
      </c>
      <c r="L293" t="s">
        <v>21</v>
      </c>
      <c r="M293">
        <f>mlb_payrolls[[#This Row],[Wins]] + mlb_payrolls[[#This Row],[Losses]]</f>
        <v>162</v>
      </c>
      <c r="N293" s="2">
        <f>IF(mlb_payrolls[[#This Row],[Games]] &gt;0, mlb_payrolls[[#This Row],[Wins]]/mlb_payrolls[[#This Row],[Games]], "")</f>
        <v>0.54938271604938271</v>
      </c>
      <c r="O293" s="1">
        <f>IFERROR(VALUE(mlb_payrolls[[#This Row],[Total Payroll Allocations]])/VALUE(mlb_payrolls[[#This Row],[Wins]]),"")</f>
        <v>1667252.5730337079</v>
      </c>
      <c r="P293" s="1">
        <f>SUM(mlb_payrolls[[#This Row],[Active 26-Man]],mlb_payrolls[[#This Row],[Injured]],mlb_payrolls[[#This Row],[Retained]],mlb_payrolls[[#This Row],[Buried]])</f>
        <v>148542795</v>
      </c>
      <c r="Q293" s="1">
        <f>mlb_payrolls[[#This Row],[Total Payroll Allocations]]-mlb_payrolls[[#This Row],[Payroll Parts Sum]]</f>
        <v>-157316</v>
      </c>
      <c r="R293" s="2">
        <f>IF(mlb_payrolls[[#This Row],[Total Payroll Allocations]]&gt;0, mlb_payrolls[[#This Row],[Active 26-Man]]/mlb_payrolls[[#This Row],[Total Payroll Allocations]],"")</f>
        <v>0.90529437183000905</v>
      </c>
      <c r="S293" s="2">
        <f>IF(mlb_payrolls[[#This Row],[Total Payroll Allocations]]&gt;0,mlb_payrolls[[#This Row],[Injured]]/mlb_payrolls[[#This Row],[Total Payroll Allocations]])</f>
        <v>6.7392039082206957E-3</v>
      </c>
      <c r="T293" s="3">
        <f>IF(mlb_payrolls[[#This Row],[Total Payroll Allocations]]&gt;0,mlb_payrolls[[#This Row],[Retained]]/mlb_payrolls[[#This Row],[Total Payroll Allocations]])</f>
        <v>8.5215663184940088E-2</v>
      </c>
      <c r="U293" s="3">
        <f>IF(mlb_payrolls[[#This Row],[Total Payroll Allocations]]&gt;0,mlb_payrolls[[#This Row],[Buried]]/mlb_payrolls[[#This Row],[Total Payroll Allocations]])</f>
        <v>3.8109456788558132E-3</v>
      </c>
      <c r="V293">
        <f>IF(mlb_payrolls[[#This Row],[Postseason]]="No Playoffs",0,1)</f>
        <v>1</v>
      </c>
    </row>
    <row r="294" spans="1:22" x14ac:dyDescent="0.3">
      <c r="A294" t="s">
        <v>45</v>
      </c>
      <c r="B294" t="s">
        <v>46</v>
      </c>
      <c r="C294">
        <v>2016</v>
      </c>
      <c r="D294">
        <v>27.9</v>
      </c>
      <c r="E294" s="1">
        <v>149355870</v>
      </c>
      <c r="F294" s="1">
        <v>132790389</v>
      </c>
      <c r="G294" s="1">
        <v>13596500</v>
      </c>
      <c r="H294" s="1">
        <v>2968981</v>
      </c>
      <c r="I294" s="1">
        <v>0</v>
      </c>
      <c r="J294">
        <v>86</v>
      </c>
      <c r="K294">
        <v>76</v>
      </c>
      <c r="L294" t="s">
        <v>14</v>
      </c>
      <c r="M294">
        <f>mlb_payrolls[[#This Row],[Wins]] + mlb_payrolls[[#This Row],[Losses]]</f>
        <v>162</v>
      </c>
      <c r="N294" s="2">
        <f>IF(mlb_payrolls[[#This Row],[Games]] &gt;0, mlb_payrolls[[#This Row],[Wins]]/mlb_payrolls[[#This Row],[Games]], "")</f>
        <v>0.53086419753086422</v>
      </c>
      <c r="O294" s="1">
        <f>IFERROR(VALUE(mlb_payrolls[[#This Row],[Total Payroll Allocations]])/VALUE(mlb_payrolls[[#This Row],[Wins]]),"")</f>
        <v>1736696.1627906978</v>
      </c>
      <c r="P294" s="1">
        <f>SUM(mlb_payrolls[[#This Row],[Active 26-Man]],mlb_payrolls[[#This Row],[Injured]],mlb_payrolls[[#This Row],[Retained]],mlb_payrolls[[#This Row],[Buried]])</f>
        <v>149355870</v>
      </c>
      <c r="Q294" s="1">
        <f>mlb_payrolls[[#This Row],[Total Payroll Allocations]]-mlb_payrolls[[#This Row],[Payroll Parts Sum]]</f>
        <v>0</v>
      </c>
      <c r="R294" s="2">
        <f>IF(mlb_payrolls[[#This Row],[Total Payroll Allocations]]&gt;0, mlb_payrolls[[#This Row],[Active 26-Man]]/mlb_payrolls[[#This Row],[Total Payroll Allocations]],"")</f>
        <v>0.88908717816045668</v>
      </c>
      <c r="S294" s="2">
        <f>IF(mlb_payrolls[[#This Row],[Total Payroll Allocations]]&gt;0,mlb_payrolls[[#This Row],[Injured]]/mlb_payrolls[[#This Row],[Total Payroll Allocations]])</f>
        <v>9.1034252620938172E-2</v>
      </c>
      <c r="T294" s="3">
        <f>IF(mlb_payrolls[[#This Row],[Total Payroll Allocations]]&gt;0,mlb_payrolls[[#This Row],[Retained]]/mlb_payrolls[[#This Row],[Total Payroll Allocations]])</f>
        <v>1.9878569218605202E-2</v>
      </c>
      <c r="U294" s="3">
        <f>IF(mlb_payrolls[[#This Row],[Total Payroll Allocations]]&gt;0,mlb_payrolls[[#This Row],[Buried]]/mlb_payrolls[[#This Row],[Total Payroll Allocations]])</f>
        <v>0</v>
      </c>
      <c r="V294">
        <f>IF(mlb_payrolls[[#This Row],[Postseason]]="No Playoffs",0,1)</f>
        <v>0</v>
      </c>
    </row>
    <row r="295" spans="1:22" x14ac:dyDescent="0.3">
      <c r="A295" t="s">
        <v>63</v>
      </c>
      <c r="B295" t="s">
        <v>64</v>
      </c>
      <c r="C295">
        <v>2022</v>
      </c>
      <c r="D295">
        <v>27.2</v>
      </c>
      <c r="E295" s="1">
        <v>150037446</v>
      </c>
      <c r="F295" s="1">
        <v>100539086</v>
      </c>
      <c r="G295" s="1">
        <v>13330822</v>
      </c>
      <c r="H295" s="1">
        <v>30024329</v>
      </c>
      <c r="I295" s="1">
        <v>6143209</v>
      </c>
      <c r="J295">
        <v>68</v>
      </c>
      <c r="K295">
        <v>94</v>
      </c>
      <c r="L295" t="s">
        <v>14</v>
      </c>
      <c r="M295">
        <f>mlb_payrolls[[#This Row],[Wins]] + mlb_payrolls[[#This Row],[Losses]]</f>
        <v>162</v>
      </c>
      <c r="N295" s="2">
        <f>IF(mlb_payrolls[[#This Row],[Games]] &gt;0, mlb_payrolls[[#This Row],[Wins]]/mlb_payrolls[[#This Row],[Games]], "")</f>
        <v>0.41975308641975306</v>
      </c>
      <c r="O295" s="1">
        <f>IFERROR(VALUE(mlb_payrolls[[#This Row],[Total Payroll Allocations]])/VALUE(mlb_payrolls[[#This Row],[Wins]]),"")</f>
        <v>2206433.0294117648</v>
      </c>
      <c r="P295" s="1">
        <f>SUM(mlb_payrolls[[#This Row],[Active 26-Man]],mlb_payrolls[[#This Row],[Injured]],mlb_payrolls[[#This Row],[Retained]],mlb_payrolls[[#This Row],[Buried]])</f>
        <v>150037446</v>
      </c>
      <c r="Q295" s="1">
        <f>mlb_payrolls[[#This Row],[Total Payroll Allocations]]-mlb_payrolls[[#This Row],[Payroll Parts Sum]]</f>
        <v>0</v>
      </c>
      <c r="R295" s="2">
        <f>IF(mlb_payrolls[[#This Row],[Total Payroll Allocations]]&gt;0, mlb_payrolls[[#This Row],[Active 26-Man]]/mlb_payrolls[[#This Row],[Total Payroll Allocations]],"")</f>
        <v>0.6700932912441071</v>
      </c>
      <c r="S295" s="2">
        <f>IF(mlb_payrolls[[#This Row],[Total Payroll Allocations]]&gt;0,mlb_payrolls[[#This Row],[Injured]]/mlb_payrolls[[#This Row],[Total Payroll Allocations]])</f>
        <v>8.8849966161114208E-2</v>
      </c>
      <c r="T295" s="3">
        <f>IF(mlb_payrolls[[#This Row],[Total Payroll Allocations]]&gt;0,mlb_payrolls[[#This Row],[Retained]]/mlb_payrolls[[#This Row],[Total Payroll Allocations]])</f>
        <v>0.20011223731441016</v>
      </c>
      <c r="U295" s="3">
        <f>IF(mlb_payrolls[[#This Row],[Total Payroll Allocations]]&gt;0,mlb_payrolls[[#This Row],[Buried]]/mlb_payrolls[[#This Row],[Total Payroll Allocations]])</f>
        <v>4.0944505280368478E-2</v>
      </c>
      <c r="V295">
        <f>IF(mlb_payrolls[[#This Row],[Postseason]]="No Playoffs",0,1)</f>
        <v>0</v>
      </c>
    </row>
    <row r="296" spans="1:22" x14ac:dyDescent="0.3">
      <c r="A296" t="s">
        <v>67</v>
      </c>
      <c r="B296" t="s">
        <v>68</v>
      </c>
      <c r="C296">
        <v>2021</v>
      </c>
      <c r="D296">
        <v>28.2</v>
      </c>
      <c r="E296" s="1">
        <v>150140253</v>
      </c>
      <c r="F296" s="1">
        <v>109902749</v>
      </c>
      <c r="G296" s="1">
        <v>8853529</v>
      </c>
      <c r="H296" s="1">
        <v>28315121</v>
      </c>
      <c r="I296" s="1">
        <v>3068854</v>
      </c>
      <c r="J296">
        <v>91</v>
      </c>
      <c r="K296">
        <v>71</v>
      </c>
      <c r="L296" t="s">
        <v>14</v>
      </c>
      <c r="M296">
        <f>mlb_payrolls[[#This Row],[Wins]] + mlb_payrolls[[#This Row],[Losses]]</f>
        <v>162</v>
      </c>
      <c r="N296" s="2">
        <f>IF(mlb_payrolls[[#This Row],[Games]] &gt;0, mlb_payrolls[[#This Row],[Wins]]/mlb_payrolls[[#This Row],[Games]], "")</f>
        <v>0.56172839506172845</v>
      </c>
      <c r="O296" s="1">
        <f>IFERROR(VALUE(mlb_payrolls[[#This Row],[Total Payroll Allocations]])/VALUE(mlb_payrolls[[#This Row],[Wins]]),"")</f>
        <v>1649892.8901098901</v>
      </c>
      <c r="P296" s="1">
        <f>SUM(mlb_payrolls[[#This Row],[Active 26-Man]],mlb_payrolls[[#This Row],[Injured]],mlb_payrolls[[#This Row],[Retained]],mlb_payrolls[[#This Row],[Buried]])</f>
        <v>150140253</v>
      </c>
      <c r="Q296" s="1">
        <f>mlb_payrolls[[#This Row],[Total Payroll Allocations]]-mlb_payrolls[[#This Row],[Payroll Parts Sum]]</f>
        <v>0</v>
      </c>
      <c r="R296" s="2">
        <f>IF(mlb_payrolls[[#This Row],[Total Payroll Allocations]]&gt;0, mlb_payrolls[[#This Row],[Active 26-Man]]/mlb_payrolls[[#This Row],[Total Payroll Allocations]],"")</f>
        <v>0.73200055817143184</v>
      </c>
      <c r="S296" s="2">
        <f>IF(mlb_payrolls[[#This Row],[Total Payroll Allocations]]&gt;0,mlb_payrolls[[#This Row],[Injured]]/mlb_payrolls[[#This Row],[Total Payroll Allocations]])</f>
        <v>5.8968390042609023E-2</v>
      </c>
      <c r="T296" s="3">
        <f>IF(mlb_payrolls[[#This Row],[Total Payroll Allocations]]&gt;0,mlb_payrolls[[#This Row],[Retained]]/mlb_payrolls[[#This Row],[Total Payroll Allocations]])</f>
        <v>0.18859113684855719</v>
      </c>
      <c r="U296" s="3">
        <f>IF(mlb_payrolls[[#This Row],[Total Payroll Allocations]]&gt;0,mlb_payrolls[[#This Row],[Buried]]/mlb_payrolls[[#This Row],[Total Payroll Allocations]])</f>
        <v>2.0439914937401896E-2</v>
      </c>
      <c r="V296">
        <f>IF(mlb_payrolls[[#This Row],[Postseason]]="No Playoffs",0,1)</f>
        <v>0</v>
      </c>
    </row>
    <row r="297" spans="1:22" x14ac:dyDescent="0.3">
      <c r="A297" t="s">
        <v>73</v>
      </c>
      <c r="B297" t="s">
        <v>74</v>
      </c>
      <c r="C297">
        <v>2018</v>
      </c>
      <c r="D297">
        <v>27.9</v>
      </c>
      <c r="E297" s="1">
        <v>150187987</v>
      </c>
      <c r="F297" s="1">
        <v>82655203</v>
      </c>
      <c r="G297" s="1">
        <v>49831436</v>
      </c>
      <c r="H297" s="1">
        <v>15314261</v>
      </c>
      <c r="I297" s="1">
        <v>595087</v>
      </c>
      <c r="J297">
        <v>77</v>
      </c>
      <c r="K297">
        <v>85</v>
      </c>
      <c r="L297" t="s">
        <v>14</v>
      </c>
      <c r="M297">
        <f>mlb_payrolls[[#This Row],[Wins]] + mlb_payrolls[[#This Row],[Losses]]</f>
        <v>162</v>
      </c>
      <c r="N297" s="2">
        <f>IF(mlb_payrolls[[#This Row],[Games]] &gt;0, mlb_payrolls[[#This Row],[Wins]]/mlb_payrolls[[#This Row],[Games]], "")</f>
        <v>0.47530864197530864</v>
      </c>
      <c r="O297" s="1">
        <f>IFERROR(VALUE(mlb_payrolls[[#This Row],[Total Payroll Allocations]])/VALUE(mlb_payrolls[[#This Row],[Wins]]),"")</f>
        <v>1950493.3376623376</v>
      </c>
      <c r="P297" s="1">
        <f>SUM(mlb_payrolls[[#This Row],[Active 26-Man]],mlb_payrolls[[#This Row],[Injured]],mlb_payrolls[[#This Row],[Retained]],mlb_payrolls[[#This Row],[Buried]])</f>
        <v>148395987</v>
      </c>
      <c r="Q297" s="1">
        <f>mlb_payrolls[[#This Row],[Total Payroll Allocations]]-mlb_payrolls[[#This Row],[Payroll Parts Sum]]</f>
        <v>1792000</v>
      </c>
      <c r="R297" s="2">
        <f>IF(mlb_payrolls[[#This Row],[Total Payroll Allocations]]&gt;0, mlb_payrolls[[#This Row],[Active 26-Man]]/mlb_payrolls[[#This Row],[Total Payroll Allocations]],"")</f>
        <v>0.55034496866916527</v>
      </c>
      <c r="S297" s="2">
        <f>IF(mlb_payrolls[[#This Row],[Total Payroll Allocations]]&gt;0,mlb_payrolls[[#This Row],[Injured]]/mlb_payrolls[[#This Row],[Total Payroll Allocations]])</f>
        <v>0.33179375391721577</v>
      </c>
      <c r="T297" s="3">
        <f>IF(mlb_payrolls[[#This Row],[Total Payroll Allocations]]&gt;0,mlb_payrolls[[#This Row],[Retained]]/mlb_payrolls[[#This Row],[Total Payroll Allocations]])</f>
        <v>0.10196728317558447</v>
      </c>
      <c r="U297" s="3">
        <f>IF(mlb_payrolls[[#This Row],[Total Payroll Allocations]]&gt;0,mlb_payrolls[[#This Row],[Buried]]/mlb_payrolls[[#This Row],[Total Payroll Allocations]])</f>
        <v>3.9622809512720883E-3</v>
      </c>
      <c r="V297">
        <f>IF(mlb_payrolls[[#This Row],[Postseason]]="No Playoffs",0,1)</f>
        <v>0</v>
      </c>
    </row>
    <row r="298" spans="1:22" x14ac:dyDescent="0.3">
      <c r="A298" t="s">
        <v>37</v>
      </c>
      <c r="B298" t="s">
        <v>38</v>
      </c>
      <c r="C298">
        <v>2022</v>
      </c>
      <c r="D298">
        <v>27</v>
      </c>
      <c r="E298" s="1">
        <v>150363491</v>
      </c>
      <c r="F298" s="1">
        <v>77058186</v>
      </c>
      <c r="G298" s="1">
        <v>53517506</v>
      </c>
      <c r="H298" s="1">
        <v>18666930</v>
      </c>
      <c r="I298" s="1">
        <v>1120869</v>
      </c>
      <c r="J298">
        <v>78</v>
      </c>
      <c r="K298">
        <v>84</v>
      </c>
      <c r="L298" t="s">
        <v>14</v>
      </c>
      <c r="M298">
        <f>mlb_payrolls[[#This Row],[Wins]] + mlb_payrolls[[#This Row],[Losses]]</f>
        <v>162</v>
      </c>
      <c r="N298" s="2">
        <f>IF(mlb_payrolls[[#This Row],[Games]] &gt;0, mlb_payrolls[[#This Row],[Wins]]/mlb_payrolls[[#This Row],[Games]], "")</f>
        <v>0.48148148148148145</v>
      </c>
      <c r="O298" s="1">
        <f>IFERROR(VALUE(mlb_payrolls[[#This Row],[Total Payroll Allocations]])/VALUE(mlb_payrolls[[#This Row],[Wins]]),"")</f>
        <v>1927737.064102564</v>
      </c>
      <c r="P298" s="1">
        <f>SUM(mlb_payrolls[[#This Row],[Active 26-Man]],mlb_payrolls[[#This Row],[Injured]],mlb_payrolls[[#This Row],[Retained]],mlb_payrolls[[#This Row],[Buried]])</f>
        <v>150363491</v>
      </c>
      <c r="Q298" s="1">
        <f>mlb_payrolls[[#This Row],[Total Payroll Allocations]]-mlb_payrolls[[#This Row],[Payroll Parts Sum]]</f>
        <v>0</v>
      </c>
      <c r="R298" s="2">
        <f>IF(mlb_payrolls[[#This Row],[Total Payroll Allocations]]&gt;0, mlb_payrolls[[#This Row],[Active 26-Man]]/mlb_payrolls[[#This Row],[Total Payroll Allocations]],"")</f>
        <v>0.51247936242714665</v>
      </c>
      <c r="S298" s="2">
        <f>IF(mlb_payrolls[[#This Row],[Total Payroll Allocations]]&gt;0,mlb_payrolls[[#This Row],[Injured]]/mlb_payrolls[[#This Row],[Total Payroll Allocations]])</f>
        <v>0.35592087975664249</v>
      </c>
      <c r="T298" s="3">
        <f>IF(mlb_payrolls[[#This Row],[Total Payroll Allocations]]&gt;0,mlb_payrolls[[#This Row],[Retained]]/mlb_payrolls[[#This Row],[Total Payroll Allocations]])</f>
        <v>0.12414536185515937</v>
      </c>
      <c r="U298" s="3">
        <f>IF(mlb_payrolls[[#This Row],[Total Payroll Allocations]]&gt;0,mlb_payrolls[[#This Row],[Buried]]/mlb_payrolls[[#This Row],[Total Payroll Allocations]])</f>
        <v>7.4543959610514762E-3</v>
      </c>
      <c r="V298">
        <f>IF(mlb_payrolls[[#This Row],[Postseason]]="No Playoffs",0,1)</f>
        <v>0</v>
      </c>
    </row>
    <row r="299" spans="1:22" x14ac:dyDescent="0.3">
      <c r="A299" t="s">
        <v>61</v>
      </c>
      <c r="B299" t="s">
        <v>62</v>
      </c>
      <c r="C299">
        <v>2022</v>
      </c>
      <c r="D299">
        <v>27.9</v>
      </c>
      <c r="E299" s="1">
        <v>150580017</v>
      </c>
      <c r="F299" s="1">
        <v>83228504</v>
      </c>
      <c r="G299" s="1">
        <v>44219852</v>
      </c>
      <c r="H299" s="1">
        <v>20225459</v>
      </c>
      <c r="I299" s="1">
        <v>2906202</v>
      </c>
      <c r="J299">
        <v>74</v>
      </c>
      <c r="K299">
        <v>88</v>
      </c>
      <c r="L299" t="s">
        <v>14</v>
      </c>
      <c r="M299">
        <f>mlb_payrolls[[#This Row],[Wins]] + mlb_payrolls[[#This Row],[Losses]]</f>
        <v>162</v>
      </c>
      <c r="N299" s="2">
        <f>IF(mlb_payrolls[[#This Row],[Games]] &gt;0, mlb_payrolls[[#This Row],[Wins]]/mlb_payrolls[[#This Row],[Games]], "")</f>
        <v>0.4567901234567901</v>
      </c>
      <c r="O299" s="1">
        <f>IFERROR(VALUE(mlb_payrolls[[#This Row],[Total Payroll Allocations]])/VALUE(mlb_payrolls[[#This Row],[Wins]]),"")</f>
        <v>2034865.0945945946</v>
      </c>
      <c r="P299" s="1">
        <f>SUM(mlb_payrolls[[#This Row],[Active 26-Man]],mlb_payrolls[[#This Row],[Injured]],mlb_payrolls[[#This Row],[Retained]],mlb_payrolls[[#This Row],[Buried]])</f>
        <v>150580017</v>
      </c>
      <c r="Q299" s="1">
        <f>mlb_payrolls[[#This Row],[Total Payroll Allocations]]-mlb_payrolls[[#This Row],[Payroll Parts Sum]]</f>
        <v>0</v>
      </c>
      <c r="R299" s="2">
        <f>IF(mlb_payrolls[[#This Row],[Total Payroll Allocations]]&gt;0, mlb_payrolls[[#This Row],[Active 26-Man]]/mlb_payrolls[[#This Row],[Total Payroll Allocations]],"")</f>
        <v>0.55271944882301349</v>
      </c>
      <c r="S299" s="2">
        <f>IF(mlb_payrolls[[#This Row],[Total Payroll Allocations]]&gt;0,mlb_payrolls[[#This Row],[Injured]]/mlb_payrolls[[#This Row],[Total Payroll Allocations]])</f>
        <v>0.29366348125727731</v>
      </c>
      <c r="T299" s="3">
        <f>IF(mlb_payrolls[[#This Row],[Total Payroll Allocations]]&gt;0,mlb_payrolls[[#This Row],[Retained]]/mlb_payrolls[[#This Row],[Total Payroll Allocations]])</f>
        <v>0.13431701897071774</v>
      </c>
      <c r="U299" s="3">
        <f>IF(mlb_payrolls[[#This Row],[Total Payroll Allocations]]&gt;0,mlb_payrolls[[#This Row],[Buried]]/mlb_payrolls[[#This Row],[Total Payroll Allocations]])</f>
        <v>1.9300050948991457E-2</v>
      </c>
      <c r="V299">
        <f>IF(mlb_payrolls[[#This Row],[Postseason]]="No Playoffs",0,1)</f>
        <v>0</v>
      </c>
    </row>
    <row r="300" spans="1:22" x14ac:dyDescent="0.3">
      <c r="A300" t="s">
        <v>67</v>
      </c>
      <c r="B300" t="s">
        <v>68</v>
      </c>
      <c r="C300">
        <v>2018</v>
      </c>
      <c r="D300">
        <v>26.8</v>
      </c>
      <c r="E300" s="1">
        <v>150946147</v>
      </c>
      <c r="F300" s="1">
        <v>81293347</v>
      </c>
      <c r="G300" s="1">
        <v>20481474</v>
      </c>
      <c r="H300" s="1">
        <v>48740616</v>
      </c>
      <c r="I300" s="1">
        <v>430710</v>
      </c>
      <c r="J300">
        <v>73</v>
      </c>
      <c r="K300">
        <v>89</v>
      </c>
      <c r="L300" t="s">
        <v>14</v>
      </c>
      <c r="M300">
        <f>mlb_payrolls[[#This Row],[Wins]] + mlb_payrolls[[#This Row],[Losses]]</f>
        <v>162</v>
      </c>
      <c r="N300" s="2">
        <f>IF(mlb_payrolls[[#This Row],[Games]] &gt;0, mlb_payrolls[[#This Row],[Wins]]/mlb_payrolls[[#This Row],[Games]], "")</f>
        <v>0.45061728395061729</v>
      </c>
      <c r="O300" s="1">
        <f>IFERROR(VALUE(mlb_payrolls[[#This Row],[Total Payroll Allocations]])/VALUE(mlb_payrolls[[#This Row],[Wins]]),"")</f>
        <v>2067755.4383561644</v>
      </c>
      <c r="P300" s="1">
        <f>SUM(mlb_payrolls[[#This Row],[Active 26-Man]],mlb_payrolls[[#This Row],[Injured]],mlb_payrolls[[#This Row],[Retained]],mlb_payrolls[[#This Row],[Buried]])</f>
        <v>150946147</v>
      </c>
      <c r="Q300" s="1">
        <f>mlb_payrolls[[#This Row],[Total Payroll Allocations]]-mlb_payrolls[[#This Row],[Payroll Parts Sum]]</f>
        <v>0</v>
      </c>
      <c r="R300" s="2">
        <f>IF(mlb_payrolls[[#This Row],[Total Payroll Allocations]]&gt;0, mlb_payrolls[[#This Row],[Active 26-Man]]/mlb_payrolls[[#This Row],[Total Payroll Allocations]],"")</f>
        <v>0.53855860925022481</v>
      </c>
      <c r="S300" s="2">
        <f>IF(mlb_payrolls[[#This Row],[Total Payroll Allocations]]&gt;0,mlb_payrolls[[#This Row],[Injured]]/mlb_payrolls[[#This Row],[Total Payroll Allocations]])</f>
        <v>0.13568729250174236</v>
      </c>
      <c r="T300" s="3">
        <f>IF(mlb_payrolls[[#This Row],[Total Payroll Allocations]]&gt;0,mlb_payrolls[[#This Row],[Retained]]/mlb_payrolls[[#This Row],[Total Payroll Allocations]])</f>
        <v>0.32290069649806963</v>
      </c>
      <c r="U300" s="3">
        <f>IF(mlb_payrolls[[#This Row],[Total Payroll Allocations]]&gt;0,mlb_payrolls[[#This Row],[Buried]]/mlb_payrolls[[#This Row],[Total Payroll Allocations]])</f>
        <v>2.8534017499631838E-3</v>
      </c>
      <c r="V300">
        <f>IF(mlb_payrolls[[#This Row],[Postseason]]="No Playoffs",0,1)</f>
        <v>0</v>
      </c>
    </row>
    <row r="301" spans="1:22" x14ac:dyDescent="0.3">
      <c r="A301" t="s">
        <v>57</v>
      </c>
      <c r="B301" t="s">
        <v>58</v>
      </c>
      <c r="C301">
        <v>2021</v>
      </c>
      <c r="D301">
        <v>28.2</v>
      </c>
      <c r="E301" s="1">
        <v>151393755</v>
      </c>
      <c r="F301" s="1">
        <v>115354620</v>
      </c>
      <c r="G301" s="1">
        <v>3301950</v>
      </c>
      <c r="H301" s="1">
        <v>17735468</v>
      </c>
      <c r="I301" s="1">
        <v>1596717</v>
      </c>
      <c r="J301">
        <v>88</v>
      </c>
      <c r="K301">
        <v>73</v>
      </c>
      <c r="L301" t="s">
        <v>24</v>
      </c>
      <c r="M301">
        <f>mlb_payrolls[[#This Row],[Wins]] + mlb_payrolls[[#This Row],[Losses]]</f>
        <v>161</v>
      </c>
      <c r="N301" s="2">
        <f>IF(mlb_payrolls[[#This Row],[Games]] &gt;0, mlb_payrolls[[#This Row],[Wins]]/mlb_payrolls[[#This Row],[Games]], "")</f>
        <v>0.54658385093167705</v>
      </c>
      <c r="O301" s="1">
        <f>IFERROR(VALUE(mlb_payrolls[[#This Row],[Total Payroll Allocations]])/VALUE(mlb_payrolls[[#This Row],[Wins]]),"")</f>
        <v>1720383.5795454546</v>
      </c>
      <c r="P301" s="1">
        <f>SUM(mlb_payrolls[[#This Row],[Active 26-Man]],mlb_payrolls[[#This Row],[Injured]],mlb_payrolls[[#This Row],[Retained]],mlb_payrolls[[#This Row],[Buried]])</f>
        <v>137988755</v>
      </c>
      <c r="Q301" s="1">
        <f>mlb_payrolls[[#This Row],[Total Payroll Allocations]]-mlb_payrolls[[#This Row],[Payroll Parts Sum]]</f>
        <v>13405000</v>
      </c>
      <c r="R301" s="2">
        <f>IF(mlb_payrolls[[#This Row],[Total Payroll Allocations]]&gt;0, mlb_payrolls[[#This Row],[Active 26-Man]]/mlb_payrolls[[#This Row],[Total Payroll Allocations]],"")</f>
        <v>0.76195098007840545</v>
      </c>
      <c r="S301" s="2">
        <f>IF(mlb_payrolls[[#This Row],[Total Payroll Allocations]]&gt;0,mlb_payrolls[[#This Row],[Injured]]/mlb_payrolls[[#This Row],[Total Payroll Allocations]])</f>
        <v>2.1810344819044879E-2</v>
      </c>
      <c r="T301" s="3">
        <f>IF(mlb_payrolls[[#This Row],[Total Payroll Allocations]]&gt;0,mlb_payrolls[[#This Row],[Retained]]/mlb_payrolls[[#This Row],[Total Payroll Allocations]])</f>
        <v>0.11714794972883789</v>
      </c>
      <c r="U301" s="3">
        <f>IF(mlb_payrolls[[#This Row],[Total Payroll Allocations]]&gt;0,mlb_payrolls[[#This Row],[Buried]]/mlb_payrolls[[#This Row],[Total Payroll Allocations]])</f>
        <v>1.0546782461403378E-2</v>
      </c>
      <c r="V301">
        <f>IF(mlb_payrolls[[#This Row],[Postseason]]="No Playoffs",0,1)</f>
        <v>1</v>
      </c>
    </row>
    <row r="302" spans="1:22" x14ac:dyDescent="0.3">
      <c r="A302" t="s">
        <v>45</v>
      </c>
      <c r="B302" t="s">
        <v>46</v>
      </c>
      <c r="C302">
        <v>2021</v>
      </c>
      <c r="D302">
        <v>29.5</v>
      </c>
      <c r="E302" s="1">
        <v>151469994</v>
      </c>
      <c r="F302" s="1">
        <v>116018560</v>
      </c>
      <c r="G302" s="1">
        <v>14512682</v>
      </c>
      <c r="H302" s="1">
        <v>19759129</v>
      </c>
      <c r="I302" s="1">
        <v>1179623</v>
      </c>
      <c r="J302">
        <v>90</v>
      </c>
      <c r="K302">
        <v>72</v>
      </c>
      <c r="L302" t="s">
        <v>21</v>
      </c>
      <c r="M302">
        <f>mlb_payrolls[[#This Row],[Wins]] + mlb_payrolls[[#This Row],[Losses]]</f>
        <v>162</v>
      </c>
      <c r="N302" s="2">
        <f>IF(mlb_payrolls[[#This Row],[Games]] &gt;0, mlb_payrolls[[#This Row],[Wins]]/mlb_payrolls[[#This Row],[Games]], "")</f>
        <v>0.55555555555555558</v>
      </c>
      <c r="O302" s="1">
        <f>IFERROR(VALUE(mlb_payrolls[[#This Row],[Total Payroll Allocations]])/VALUE(mlb_payrolls[[#This Row],[Wins]]),"")</f>
        <v>1682999.9333333333</v>
      </c>
      <c r="P302" s="1">
        <f>SUM(mlb_payrolls[[#This Row],[Active 26-Man]],mlb_payrolls[[#This Row],[Injured]],mlb_payrolls[[#This Row],[Retained]],mlb_payrolls[[#This Row],[Buried]])</f>
        <v>151469994</v>
      </c>
      <c r="Q302" s="1">
        <f>mlb_payrolls[[#This Row],[Total Payroll Allocations]]-mlb_payrolls[[#This Row],[Payroll Parts Sum]]</f>
        <v>0</v>
      </c>
      <c r="R302" s="2">
        <f>IF(mlb_payrolls[[#This Row],[Total Payroll Allocations]]&gt;0, mlb_payrolls[[#This Row],[Active 26-Man]]/mlb_payrolls[[#This Row],[Total Payroll Allocations]],"")</f>
        <v>0.76595077966399072</v>
      </c>
      <c r="S302" s="2">
        <f>IF(mlb_payrolls[[#This Row],[Total Payroll Allocations]]&gt;0,mlb_payrolls[[#This Row],[Injured]]/mlb_payrolls[[#This Row],[Total Payroll Allocations]])</f>
        <v>9.5812257046765312E-2</v>
      </c>
      <c r="T302" s="3">
        <f>IF(mlb_payrolls[[#This Row],[Total Payroll Allocations]]&gt;0,mlb_payrolls[[#This Row],[Retained]]/mlb_payrolls[[#This Row],[Total Payroll Allocations]])</f>
        <v>0.13044913040664674</v>
      </c>
      <c r="U302" s="3">
        <f>IF(mlb_payrolls[[#This Row],[Total Payroll Allocations]]&gt;0,mlb_payrolls[[#This Row],[Buried]]/mlb_payrolls[[#This Row],[Total Payroll Allocations]])</f>
        <v>7.7878328825971965E-3</v>
      </c>
      <c r="V302">
        <f>IF(mlb_payrolls[[#This Row],[Postseason]]="No Playoffs",0,1)</f>
        <v>1</v>
      </c>
    </row>
    <row r="303" spans="1:22" x14ac:dyDescent="0.3">
      <c r="A303" t="s">
        <v>45</v>
      </c>
      <c r="B303" t="s">
        <v>46</v>
      </c>
      <c r="C303">
        <v>2023</v>
      </c>
      <c r="D303">
        <v>27.8</v>
      </c>
      <c r="E303" s="1">
        <v>153793028</v>
      </c>
      <c r="F303" s="1">
        <v>83908832</v>
      </c>
      <c r="G303" s="1">
        <v>48168555</v>
      </c>
      <c r="H303" s="1">
        <v>20560215</v>
      </c>
      <c r="I303" s="1">
        <v>1155426</v>
      </c>
      <c r="J303">
        <v>71</v>
      </c>
      <c r="K303">
        <v>91</v>
      </c>
      <c r="L303" t="s">
        <v>14</v>
      </c>
      <c r="M303">
        <f>mlb_payrolls[[#This Row],[Wins]] + mlb_payrolls[[#This Row],[Losses]]</f>
        <v>162</v>
      </c>
      <c r="N303" s="2">
        <f>IF(mlb_payrolls[[#This Row],[Games]] &gt;0, mlb_payrolls[[#This Row],[Wins]]/mlb_payrolls[[#This Row],[Games]], "")</f>
        <v>0.43827160493827161</v>
      </c>
      <c r="O303" s="1">
        <f>IFERROR(VALUE(mlb_payrolls[[#This Row],[Total Payroll Allocations]])/VALUE(mlb_payrolls[[#This Row],[Wins]]),"")</f>
        <v>2166098.9859154928</v>
      </c>
      <c r="P303" s="1">
        <f>SUM(mlb_payrolls[[#This Row],[Active 26-Man]],mlb_payrolls[[#This Row],[Injured]],mlb_payrolls[[#This Row],[Retained]],mlb_payrolls[[#This Row],[Buried]])</f>
        <v>153793028</v>
      </c>
      <c r="Q303" s="1">
        <f>mlb_payrolls[[#This Row],[Total Payroll Allocations]]-mlb_payrolls[[#This Row],[Payroll Parts Sum]]</f>
        <v>0</v>
      </c>
      <c r="R303" s="2">
        <f>IF(mlb_payrolls[[#This Row],[Total Payroll Allocations]]&gt;0, mlb_payrolls[[#This Row],[Active 26-Man]]/mlb_payrolls[[#This Row],[Total Payroll Allocations]],"")</f>
        <v>0.54559581205462704</v>
      </c>
      <c r="S303" s="2">
        <f>IF(mlb_payrolls[[#This Row],[Total Payroll Allocations]]&gt;0,mlb_payrolls[[#This Row],[Injured]]/mlb_payrolls[[#This Row],[Total Payroll Allocations]])</f>
        <v>0.31320376239682335</v>
      </c>
      <c r="T303" s="3">
        <f>IF(mlb_payrolls[[#This Row],[Total Payroll Allocations]]&gt;0,mlb_payrolls[[#This Row],[Retained]]/mlb_payrolls[[#This Row],[Total Payroll Allocations]])</f>
        <v>0.13368756222161124</v>
      </c>
      <c r="U303" s="3">
        <f>IF(mlb_payrolls[[#This Row],[Total Payroll Allocations]]&gt;0,mlb_payrolls[[#This Row],[Buried]]/mlb_payrolls[[#This Row],[Total Payroll Allocations]])</f>
        <v>7.5128633269383313E-3</v>
      </c>
      <c r="V303">
        <f>IF(mlb_payrolls[[#This Row],[Postseason]]="No Playoffs",0,1)</f>
        <v>0</v>
      </c>
    </row>
    <row r="304" spans="1:22" x14ac:dyDescent="0.3">
      <c r="A304" t="s">
        <v>25</v>
      </c>
      <c r="B304" t="s">
        <v>26</v>
      </c>
      <c r="C304">
        <v>2016</v>
      </c>
      <c r="D304">
        <v>28.5</v>
      </c>
      <c r="E304" s="1">
        <v>154148832</v>
      </c>
      <c r="F304" s="1">
        <v>148307663</v>
      </c>
      <c r="G304" s="1">
        <v>2650245</v>
      </c>
      <c r="H304" s="1">
        <v>2773173</v>
      </c>
      <c r="I304" s="1">
        <v>417751</v>
      </c>
      <c r="J304">
        <v>89</v>
      </c>
      <c r="K304">
        <v>73</v>
      </c>
      <c r="L304" t="s">
        <v>21</v>
      </c>
      <c r="M304">
        <f>mlb_payrolls[[#This Row],[Wins]] + mlb_payrolls[[#This Row],[Losses]]</f>
        <v>162</v>
      </c>
      <c r="N304" s="2">
        <f>IF(mlb_payrolls[[#This Row],[Games]] &gt;0, mlb_payrolls[[#This Row],[Wins]]/mlb_payrolls[[#This Row],[Games]], "")</f>
        <v>0.54938271604938271</v>
      </c>
      <c r="O304" s="1">
        <f>IFERROR(VALUE(mlb_payrolls[[#This Row],[Total Payroll Allocations]])/VALUE(mlb_payrolls[[#This Row],[Wins]]),"")</f>
        <v>1732009.3483146068</v>
      </c>
      <c r="P304" s="1">
        <f>SUM(mlb_payrolls[[#This Row],[Active 26-Man]],mlb_payrolls[[#This Row],[Injured]],mlb_payrolls[[#This Row],[Retained]],mlb_payrolls[[#This Row],[Buried]])</f>
        <v>154148832</v>
      </c>
      <c r="Q304" s="1">
        <f>mlb_payrolls[[#This Row],[Total Payroll Allocations]]-mlb_payrolls[[#This Row],[Payroll Parts Sum]]</f>
        <v>0</v>
      </c>
      <c r="R304" s="2">
        <f>IF(mlb_payrolls[[#This Row],[Total Payroll Allocations]]&gt;0, mlb_payrolls[[#This Row],[Active 26-Man]]/mlb_payrolls[[#This Row],[Total Payroll Allocations]],"")</f>
        <v>0.96210695258462942</v>
      </c>
      <c r="S304" s="2">
        <f>IF(mlb_payrolls[[#This Row],[Total Payroll Allocations]]&gt;0,mlb_payrolls[[#This Row],[Injured]]/mlb_payrolls[[#This Row],[Total Payroll Allocations]])</f>
        <v>1.7192767312048138E-2</v>
      </c>
      <c r="T304" s="3">
        <f>IF(mlb_payrolls[[#This Row],[Total Payroll Allocations]]&gt;0,mlb_payrolls[[#This Row],[Retained]]/mlb_payrolls[[#This Row],[Total Payroll Allocations]])</f>
        <v>1.7990230376834771E-2</v>
      </c>
      <c r="U304" s="3">
        <f>IF(mlb_payrolls[[#This Row],[Total Payroll Allocations]]&gt;0,mlb_payrolls[[#This Row],[Buried]]/mlb_payrolls[[#This Row],[Total Payroll Allocations]])</f>
        <v>2.7100497264877102E-3</v>
      </c>
      <c r="V304">
        <f>IF(mlb_payrolls[[#This Row],[Postseason]]="No Playoffs",0,1)</f>
        <v>1</v>
      </c>
    </row>
    <row r="305" spans="1:22" x14ac:dyDescent="0.3">
      <c r="A305" t="s">
        <v>45</v>
      </c>
      <c r="B305" t="s">
        <v>46</v>
      </c>
      <c r="C305">
        <v>2022</v>
      </c>
      <c r="D305">
        <v>28.8</v>
      </c>
      <c r="E305" s="1">
        <v>155378325</v>
      </c>
      <c r="F305" s="1">
        <v>134723541</v>
      </c>
      <c r="G305" s="1">
        <v>8750000</v>
      </c>
      <c r="H305" s="1">
        <v>9569813</v>
      </c>
      <c r="I305" s="1">
        <v>2334971</v>
      </c>
      <c r="J305">
        <v>93</v>
      </c>
      <c r="K305">
        <v>69</v>
      </c>
      <c r="L305" t="s">
        <v>24</v>
      </c>
      <c r="M305">
        <f>mlb_payrolls[[#This Row],[Wins]] + mlb_payrolls[[#This Row],[Losses]]</f>
        <v>162</v>
      </c>
      <c r="N305" s="2">
        <f>IF(mlb_payrolls[[#This Row],[Games]] &gt;0, mlb_payrolls[[#This Row],[Wins]]/mlb_payrolls[[#This Row],[Games]], "")</f>
        <v>0.57407407407407407</v>
      </c>
      <c r="O305" s="1">
        <f>IFERROR(VALUE(mlb_payrolls[[#This Row],[Total Payroll Allocations]])/VALUE(mlb_payrolls[[#This Row],[Wins]]),"")</f>
        <v>1670734.6774193549</v>
      </c>
      <c r="P305" s="1">
        <f>SUM(mlb_payrolls[[#This Row],[Active 26-Man]],mlb_payrolls[[#This Row],[Injured]],mlb_payrolls[[#This Row],[Retained]],mlb_payrolls[[#This Row],[Buried]])</f>
        <v>155378325</v>
      </c>
      <c r="Q305" s="1">
        <f>mlb_payrolls[[#This Row],[Total Payroll Allocations]]-mlb_payrolls[[#This Row],[Payroll Parts Sum]]</f>
        <v>0</v>
      </c>
      <c r="R305" s="2">
        <f>IF(mlb_payrolls[[#This Row],[Total Payroll Allocations]]&gt;0, mlb_payrolls[[#This Row],[Active 26-Man]]/mlb_payrolls[[#This Row],[Total Payroll Allocations]],"")</f>
        <v>0.86706779082603702</v>
      </c>
      <c r="S305" s="2">
        <f>IF(mlb_payrolls[[#This Row],[Total Payroll Allocations]]&gt;0,mlb_payrolls[[#This Row],[Injured]]/mlb_payrolls[[#This Row],[Total Payroll Allocations]])</f>
        <v>5.6314160935896307E-2</v>
      </c>
      <c r="T305" s="3">
        <f>IF(mlb_payrolls[[#This Row],[Total Payroll Allocations]]&gt;0,mlb_payrolls[[#This Row],[Retained]]/mlb_payrolls[[#This Row],[Total Payroll Allocations]])</f>
        <v>6.1590398789535157E-2</v>
      </c>
      <c r="U305" s="3">
        <f>IF(mlb_payrolls[[#This Row],[Total Payroll Allocations]]&gt;0,mlb_payrolls[[#This Row],[Buried]]/mlb_payrolls[[#This Row],[Total Payroll Allocations]])</f>
        <v>1.5027649448531511E-2</v>
      </c>
      <c r="V305">
        <f>IF(mlb_payrolls[[#This Row],[Postseason]]="No Playoffs",0,1)</f>
        <v>1</v>
      </c>
    </row>
    <row r="306" spans="1:22" x14ac:dyDescent="0.3">
      <c r="A306" t="s">
        <v>49</v>
      </c>
      <c r="B306" t="s">
        <v>50</v>
      </c>
      <c r="C306">
        <v>2019</v>
      </c>
      <c r="D306">
        <v>27.3</v>
      </c>
      <c r="E306" s="1">
        <v>155403513</v>
      </c>
      <c r="F306" s="1">
        <v>120506596</v>
      </c>
      <c r="G306" s="1">
        <v>12420904</v>
      </c>
      <c r="H306" s="1">
        <v>17868240</v>
      </c>
      <c r="I306" s="1">
        <v>4607773</v>
      </c>
      <c r="J306">
        <v>71</v>
      </c>
      <c r="K306">
        <v>91</v>
      </c>
      <c r="L306" t="s">
        <v>14</v>
      </c>
      <c r="M306">
        <f>mlb_payrolls[[#This Row],[Wins]] + mlb_payrolls[[#This Row],[Losses]]</f>
        <v>162</v>
      </c>
      <c r="N306" s="2">
        <f>IF(mlb_payrolls[[#This Row],[Games]] &gt;0, mlb_payrolls[[#This Row],[Wins]]/mlb_payrolls[[#This Row],[Games]], "")</f>
        <v>0.43827160493827161</v>
      </c>
      <c r="O306" s="1">
        <f>IFERROR(VALUE(mlb_payrolls[[#This Row],[Total Payroll Allocations]])/VALUE(mlb_payrolls[[#This Row],[Wins]]),"")</f>
        <v>2188781.8732394367</v>
      </c>
      <c r="P306" s="1">
        <f>SUM(mlb_payrolls[[#This Row],[Active 26-Man]],mlb_payrolls[[#This Row],[Injured]],mlb_payrolls[[#This Row],[Retained]],mlb_payrolls[[#This Row],[Buried]])</f>
        <v>155403513</v>
      </c>
      <c r="Q306" s="1">
        <f>mlb_payrolls[[#This Row],[Total Payroll Allocations]]-mlb_payrolls[[#This Row],[Payroll Parts Sum]]</f>
        <v>0</v>
      </c>
      <c r="R306" s="2">
        <f>IF(mlb_payrolls[[#This Row],[Total Payroll Allocations]]&gt;0, mlb_payrolls[[#This Row],[Active 26-Man]]/mlb_payrolls[[#This Row],[Total Payroll Allocations]],"")</f>
        <v>0.77544319091422342</v>
      </c>
      <c r="S306" s="2">
        <f>IF(mlb_payrolls[[#This Row],[Total Payroll Allocations]]&gt;0,mlb_payrolls[[#This Row],[Injured]]/mlb_payrolls[[#This Row],[Total Payroll Allocations]])</f>
        <v>7.9926790329379493E-2</v>
      </c>
      <c r="T306" s="3">
        <f>IF(mlb_payrolls[[#This Row],[Total Payroll Allocations]]&gt;0,mlb_payrolls[[#This Row],[Retained]]/mlb_payrolls[[#This Row],[Total Payroll Allocations]])</f>
        <v>0.11497964013207346</v>
      </c>
      <c r="U306" s="3">
        <f>IF(mlb_payrolls[[#This Row],[Total Payroll Allocations]]&gt;0,mlb_payrolls[[#This Row],[Buried]]/mlb_payrolls[[#This Row],[Total Payroll Allocations]])</f>
        <v>2.9650378624323633E-2</v>
      </c>
      <c r="V306">
        <f>IF(mlb_payrolls[[#This Row],[Postseason]]="No Playoffs",0,1)</f>
        <v>0</v>
      </c>
    </row>
    <row r="307" spans="1:22" x14ac:dyDescent="0.3">
      <c r="A307" t="s">
        <v>37</v>
      </c>
      <c r="B307" t="s">
        <v>38</v>
      </c>
      <c r="C307">
        <v>2023</v>
      </c>
      <c r="D307">
        <v>28.8</v>
      </c>
      <c r="E307" s="1">
        <v>155999708</v>
      </c>
      <c r="F307" s="1">
        <v>77967521</v>
      </c>
      <c r="G307" s="1">
        <v>71263008</v>
      </c>
      <c r="H307" s="1">
        <v>3421766</v>
      </c>
      <c r="I307" s="1">
        <v>3347413</v>
      </c>
      <c r="J307">
        <v>87</v>
      </c>
      <c r="K307">
        <v>75</v>
      </c>
      <c r="L307" t="s">
        <v>24</v>
      </c>
      <c r="M307">
        <f>mlb_payrolls[[#This Row],[Wins]] + mlb_payrolls[[#This Row],[Losses]]</f>
        <v>162</v>
      </c>
      <c r="N307" s="2">
        <f>IF(mlb_payrolls[[#This Row],[Games]] &gt;0, mlb_payrolls[[#This Row],[Wins]]/mlb_payrolls[[#This Row],[Games]], "")</f>
        <v>0.53703703703703709</v>
      </c>
      <c r="O307" s="1">
        <f>IFERROR(VALUE(mlb_payrolls[[#This Row],[Total Payroll Allocations]])/VALUE(mlb_payrolls[[#This Row],[Wins]]),"")</f>
        <v>1793100.0919540229</v>
      </c>
      <c r="P307" s="1">
        <f>SUM(mlb_payrolls[[#This Row],[Active 26-Man]],mlb_payrolls[[#This Row],[Injured]],mlb_payrolls[[#This Row],[Retained]],mlb_payrolls[[#This Row],[Buried]])</f>
        <v>155999708</v>
      </c>
      <c r="Q307" s="1">
        <f>mlb_payrolls[[#This Row],[Total Payroll Allocations]]-mlb_payrolls[[#This Row],[Payroll Parts Sum]]</f>
        <v>0</v>
      </c>
      <c r="R307" s="2">
        <f>IF(mlb_payrolls[[#This Row],[Total Payroll Allocations]]&gt;0, mlb_payrolls[[#This Row],[Active 26-Man]]/mlb_payrolls[[#This Row],[Total Payroll Allocations]],"")</f>
        <v>0.49979273679153297</v>
      </c>
      <c r="S307" s="2">
        <f>IF(mlb_payrolls[[#This Row],[Total Payroll Allocations]]&gt;0,mlb_payrolls[[#This Row],[Injured]]/mlb_payrolls[[#This Row],[Total Payroll Allocations]])</f>
        <v>0.45681500891014487</v>
      </c>
      <c r="T307" s="3">
        <f>IF(mlb_payrolls[[#This Row],[Total Payroll Allocations]]&gt;0,mlb_payrolls[[#This Row],[Retained]]/mlb_payrolls[[#This Row],[Total Payroll Allocations]])</f>
        <v>2.1934438492666922E-2</v>
      </c>
      <c r="U307" s="3">
        <f>IF(mlb_payrolls[[#This Row],[Total Payroll Allocations]]&gt;0,mlb_payrolls[[#This Row],[Buried]]/mlb_payrolls[[#This Row],[Total Payroll Allocations]])</f>
        <v>2.1457815805655225E-2</v>
      </c>
      <c r="V307">
        <f>IF(mlb_payrolls[[#This Row],[Postseason]]="No Playoffs",0,1)</f>
        <v>1</v>
      </c>
    </row>
    <row r="308" spans="1:22" x14ac:dyDescent="0.3">
      <c r="A308" t="s">
        <v>59</v>
      </c>
      <c r="B308" t="s">
        <v>60</v>
      </c>
      <c r="C308">
        <v>2012</v>
      </c>
      <c r="D308">
        <v>28.4</v>
      </c>
      <c r="E308" s="1">
        <v>157168625</v>
      </c>
      <c r="F308" s="1">
        <v>153844690</v>
      </c>
      <c r="G308" s="1">
        <v>0</v>
      </c>
      <c r="H308" s="1">
        <v>3323935</v>
      </c>
      <c r="I308" s="1">
        <v>0</v>
      </c>
      <c r="J308">
        <v>89</v>
      </c>
      <c r="K308">
        <v>73</v>
      </c>
      <c r="L308" t="s">
        <v>14</v>
      </c>
      <c r="M308">
        <f>mlb_payrolls[[#This Row],[Wins]] + mlb_payrolls[[#This Row],[Losses]]</f>
        <v>162</v>
      </c>
      <c r="N308" s="2">
        <f>IF(mlb_payrolls[[#This Row],[Games]] &gt;0, mlb_payrolls[[#This Row],[Wins]]/mlb_payrolls[[#This Row],[Games]], "")</f>
        <v>0.54938271604938271</v>
      </c>
      <c r="O308" s="1">
        <f>IFERROR(VALUE(mlb_payrolls[[#This Row],[Total Payroll Allocations]])/VALUE(mlb_payrolls[[#This Row],[Wins]]),"")</f>
        <v>1765939.606741573</v>
      </c>
      <c r="P308" s="1">
        <f>SUM(mlb_payrolls[[#This Row],[Active 26-Man]],mlb_payrolls[[#This Row],[Injured]],mlb_payrolls[[#This Row],[Retained]],mlb_payrolls[[#This Row],[Buried]])</f>
        <v>157168625</v>
      </c>
      <c r="Q308" s="1">
        <f>mlb_payrolls[[#This Row],[Total Payroll Allocations]]-mlb_payrolls[[#This Row],[Payroll Parts Sum]]</f>
        <v>0</v>
      </c>
      <c r="R308" s="2">
        <f>IF(mlb_payrolls[[#This Row],[Total Payroll Allocations]]&gt;0, mlb_payrolls[[#This Row],[Active 26-Man]]/mlb_payrolls[[#This Row],[Total Payroll Allocations]],"")</f>
        <v>0.97885115429367664</v>
      </c>
      <c r="S308" s="2">
        <f>IF(mlb_payrolls[[#This Row],[Total Payroll Allocations]]&gt;0,mlb_payrolls[[#This Row],[Injured]]/mlb_payrolls[[#This Row],[Total Payroll Allocations]])</f>
        <v>0</v>
      </c>
      <c r="T308" s="3">
        <f>IF(mlb_payrolls[[#This Row],[Total Payroll Allocations]]&gt;0,mlb_payrolls[[#This Row],[Retained]]/mlb_payrolls[[#This Row],[Total Payroll Allocations]])</f>
        <v>2.1148845706323385E-2</v>
      </c>
      <c r="U308" s="3">
        <f>IF(mlb_payrolls[[#This Row],[Total Payroll Allocations]]&gt;0,mlb_payrolls[[#This Row],[Buried]]/mlb_payrolls[[#This Row],[Total Payroll Allocations]])</f>
        <v>0</v>
      </c>
      <c r="V308">
        <f>IF(mlb_payrolls[[#This Row],[Postseason]]="No Playoffs",0,1)</f>
        <v>0</v>
      </c>
    </row>
    <row r="309" spans="1:22" x14ac:dyDescent="0.3">
      <c r="A309" t="s">
        <v>19</v>
      </c>
      <c r="B309" t="s">
        <v>20</v>
      </c>
      <c r="C309">
        <v>2013</v>
      </c>
      <c r="D309">
        <v>28.4</v>
      </c>
      <c r="E309" s="1">
        <v>157332966</v>
      </c>
      <c r="F309" s="1">
        <v>151033294</v>
      </c>
      <c r="G309" s="1">
        <v>494000</v>
      </c>
      <c r="H309" s="1">
        <v>5805672</v>
      </c>
      <c r="I309" s="1">
        <v>0</v>
      </c>
      <c r="J309">
        <v>93</v>
      </c>
      <c r="K309">
        <v>69</v>
      </c>
      <c r="L309" t="s">
        <v>24</v>
      </c>
      <c r="M309">
        <f>mlb_payrolls[[#This Row],[Wins]] + mlb_payrolls[[#This Row],[Losses]]</f>
        <v>162</v>
      </c>
      <c r="N309" s="2">
        <f>IF(mlb_payrolls[[#This Row],[Games]] &gt;0, mlb_payrolls[[#This Row],[Wins]]/mlb_payrolls[[#This Row],[Games]], "")</f>
        <v>0.57407407407407407</v>
      </c>
      <c r="O309" s="1">
        <f>IFERROR(VALUE(mlb_payrolls[[#This Row],[Total Payroll Allocations]])/VALUE(mlb_payrolls[[#This Row],[Wins]]),"")</f>
        <v>1691752.3225806451</v>
      </c>
      <c r="P309" s="1">
        <f>SUM(mlb_payrolls[[#This Row],[Active 26-Man]],mlb_payrolls[[#This Row],[Injured]],mlb_payrolls[[#This Row],[Retained]],mlb_payrolls[[#This Row],[Buried]])</f>
        <v>157332966</v>
      </c>
      <c r="Q309" s="1">
        <f>mlb_payrolls[[#This Row],[Total Payroll Allocations]]-mlb_payrolls[[#This Row],[Payroll Parts Sum]]</f>
        <v>0</v>
      </c>
      <c r="R309" s="2">
        <f>IF(mlb_payrolls[[#This Row],[Total Payroll Allocations]]&gt;0, mlb_payrolls[[#This Row],[Active 26-Man]]/mlb_payrolls[[#This Row],[Total Payroll Allocations]],"")</f>
        <v>0.95995961838029542</v>
      </c>
      <c r="S309" s="2">
        <f>IF(mlb_payrolls[[#This Row],[Total Payroll Allocations]]&gt;0,mlb_payrolls[[#This Row],[Injured]]/mlb_payrolls[[#This Row],[Total Payroll Allocations]])</f>
        <v>3.139837839197667E-3</v>
      </c>
      <c r="T309" s="3">
        <f>IF(mlb_payrolls[[#This Row],[Total Payroll Allocations]]&gt;0,mlb_payrolls[[#This Row],[Retained]]/mlb_payrolls[[#This Row],[Total Payroll Allocations]])</f>
        <v>3.6900543780506875E-2</v>
      </c>
      <c r="U309" s="3">
        <f>IF(mlb_payrolls[[#This Row],[Total Payroll Allocations]]&gt;0,mlb_payrolls[[#This Row],[Buried]]/mlb_payrolls[[#This Row],[Total Payroll Allocations]])</f>
        <v>0</v>
      </c>
      <c r="V309">
        <f>IF(mlb_payrolls[[#This Row],[Postseason]]="No Playoffs",0,1)</f>
        <v>1</v>
      </c>
    </row>
    <row r="310" spans="1:22" x14ac:dyDescent="0.3">
      <c r="A310" t="s">
        <v>59</v>
      </c>
      <c r="B310" t="s">
        <v>60</v>
      </c>
      <c r="C310">
        <v>2019</v>
      </c>
      <c r="D310">
        <v>27.2</v>
      </c>
      <c r="E310" s="1">
        <v>157999465</v>
      </c>
      <c r="F310" s="1">
        <v>118016581</v>
      </c>
      <c r="G310" s="1">
        <v>15868930</v>
      </c>
      <c r="H310" s="1">
        <v>23964754</v>
      </c>
      <c r="I310" s="1">
        <v>149200</v>
      </c>
      <c r="J310">
        <v>72</v>
      </c>
      <c r="K310">
        <v>90</v>
      </c>
      <c r="L310" t="s">
        <v>14</v>
      </c>
      <c r="M310">
        <f>mlb_payrolls[[#This Row],[Wins]] + mlb_payrolls[[#This Row],[Losses]]</f>
        <v>162</v>
      </c>
      <c r="N310" s="2">
        <f>IF(mlb_payrolls[[#This Row],[Games]] &gt;0, mlb_payrolls[[#This Row],[Wins]]/mlb_payrolls[[#This Row],[Games]], "")</f>
        <v>0.44444444444444442</v>
      </c>
      <c r="O310" s="1">
        <f>IFERROR(VALUE(mlb_payrolls[[#This Row],[Total Payroll Allocations]])/VALUE(mlb_payrolls[[#This Row],[Wins]]),"")</f>
        <v>2194437.013888889</v>
      </c>
      <c r="P310" s="1">
        <f>SUM(mlb_payrolls[[#This Row],[Active 26-Man]],mlb_payrolls[[#This Row],[Injured]],mlb_payrolls[[#This Row],[Retained]],mlb_payrolls[[#This Row],[Buried]])</f>
        <v>157999465</v>
      </c>
      <c r="Q310" s="1">
        <f>mlb_payrolls[[#This Row],[Total Payroll Allocations]]-mlb_payrolls[[#This Row],[Payroll Parts Sum]]</f>
        <v>0</v>
      </c>
      <c r="R310" s="2">
        <f>IF(mlb_payrolls[[#This Row],[Total Payroll Allocations]]&gt;0, mlb_payrolls[[#This Row],[Active 26-Man]]/mlb_payrolls[[#This Row],[Total Payroll Allocations]],"")</f>
        <v>0.74694291528139034</v>
      </c>
      <c r="S310" s="2">
        <f>IF(mlb_payrolls[[#This Row],[Total Payroll Allocations]]&gt;0,mlb_payrolls[[#This Row],[Injured]]/mlb_payrolls[[#This Row],[Total Payroll Allocations]])</f>
        <v>0.10043660590876051</v>
      </c>
      <c r="T310" s="3">
        <f>IF(mlb_payrolls[[#This Row],[Total Payroll Allocations]]&gt;0,mlb_payrolls[[#This Row],[Retained]]/mlb_payrolls[[#This Row],[Total Payroll Allocations]])</f>
        <v>0.15167617181488557</v>
      </c>
      <c r="U310" s="3">
        <f>IF(mlb_payrolls[[#This Row],[Total Payroll Allocations]]&gt;0,mlb_payrolls[[#This Row],[Buried]]/mlb_payrolls[[#This Row],[Total Payroll Allocations]])</f>
        <v>9.4430699496355892E-4</v>
      </c>
      <c r="V310">
        <f>IF(mlb_payrolls[[#This Row],[Postseason]]="No Playoffs",0,1)</f>
        <v>0</v>
      </c>
    </row>
    <row r="311" spans="1:22" x14ac:dyDescent="0.3">
      <c r="A311" t="s">
        <v>55</v>
      </c>
      <c r="B311" t="s">
        <v>56</v>
      </c>
      <c r="C311">
        <v>2019</v>
      </c>
      <c r="D311">
        <v>27.5</v>
      </c>
      <c r="E311" s="1">
        <v>158976752</v>
      </c>
      <c r="F311" s="1">
        <v>82703582</v>
      </c>
      <c r="G311" s="1">
        <v>67270903</v>
      </c>
      <c r="H311" s="1">
        <v>3500513</v>
      </c>
      <c r="I311" s="1">
        <v>151754</v>
      </c>
      <c r="J311">
        <v>81</v>
      </c>
      <c r="K311">
        <v>81</v>
      </c>
      <c r="L311" t="s">
        <v>14</v>
      </c>
      <c r="M311">
        <f>mlb_payrolls[[#This Row],[Wins]] + mlb_payrolls[[#This Row],[Losses]]</f>
        <v>162</v>
      </c>
      <c r="N311" s="2">
        <f>IF(mlb_payrolls[[#This Row],[Games]] &gt;0, mlb_payrolls[[#This Row],[Wins]]/mlb_payrolls[[#This Row],[Games]], "")</f>
        <v>0.5</v>
      </c>
      <c r="O311" s="1">
        <f>IFERROR(VALUE(mlb_payrolls[[#This Row],[Total Payroll Allocations]])/VALUE(mlb_payrolls[[#This Row],[Wins]]),"")</f>
        <v>1962675.950617284</v>
      </c>
      <c r="P311" s="1">
        <f>SUM(mlb_payrolls[[#This Row],[Active 26-Man]],mlb_payrolls[[#This Row],[Injured]],mlb_payrolls[[#This Row],[Retained]],mlb_payrolls[[#This Row],[Buried]])</f>
        <v>153626752</v>
      </c>
      <c r="Q311" s="1">
        <f>mlb_payrolls[[#This Row],[Total Payroll Allocations]]-mlb_payrolls[[#This Row],[Payroll Parts Sum]]</f>
        <v>5350000</v>
      </c>
      <c r="R311" s="2">
        <f>IF(mlb_payrolls[[#This Row],[Total Payroll Allocations]]&gt;0, mlb_payrolls[[#This Row],[Active 26-Man]]/mlb_payrolls[[#This Row],[Total Payroll Allocations]],"")</f>
        <v>0.52022437846761393</v>
      </c>
      <c r="S311" s="2">
        <f>IF(mlb_payrolls[[#This Row],[Total Payroll Allocations]]&gt;0,mlb_payrolls[[#This Row],[Injured]]/mlb_payrolls[[#This Row],[Total Payroll Allocations]])</f>
        <v>0.42314931053566879</v>
      </c>
      <c r="T311" s="3">
        <f>IF(mlb_payrolls[[#This Row],[Total Payroll Allocations]]&gt;0,mlb_payrolls[[#This Row],[Retained]]/mlb_payrolls[[#This Row],[Total Payroll Allocations]])</f>
        <v>2.2019024517496748E-2</v>
      </c>
      <c r="U311" s="3">
        <f>IF(mlb_payrolls[[#This Row],[Total Payroll Allocations]]&gt;0,mlb_payrolls[[#This Row],[Buried]]/mlb_payrolls[[#This Row],[Total Payroll Allocations]])</f>
        <v>9.5456724389488088E-4</v>
      </c>
      <c r="V311">
        <f>IF(mlb_payrolls[[#This Row],[Postseason]]="No Playoffs",0,1)</f>
        <v>0</v>
      </c>
    </row>
    <row r="312" spans="1:22" x14ac:dyDescent="0.3">
      <c r="A312" t="s">
        <v>39</v>
      </c>
      <c r="B312" t="s">
        <v>40</v>
      </c>
      <c r="C312">
        <v>2018</v>
      </c>
      <c r="D312">
        <v>29.4</v>
      </c>
      <c r="E312" s="1">
        <v>160243827</v>
      </c>
      <c r="F312" s="1">
        <v>136839663</v>
      </c>
      <c r="G312" s="1">
        <v>13496812</v>
      </c>
      <c r="H312" s="1">
        <v>9361340</v>
      </c>
      <c r="I312" s="1">
        <v>546012</v>
      </c>
      <c r="J312">
        <v>89</v>
      </c>
      <c r="K312">
        <v>73</v>
      </c>
      <c r="L312" t="s">
        <v>14</v>
      </c>
      <c r="M312">
        <f>mlb_payrolls[[#This Row],[Wins]] + mlb_payrolls[[#This Row],[Losses]]</f>
        <v>162</v>
      </c>
      <c r="N312" s="2">
        <f>IF(mlb_payrolls[[#This Row],[Games]] &gt;0, mlb_payrolls[[#This Row],[Wins]]/mlb_payrolls[[#This Row],[Games]], "")</f>
        <v>0.54938271604938271</v>
      </c>
      <c r="O312" s="1">
        <f>IFERROR(VALUE(mlb_payrolls[[#This Row],[Total Payroll Allocations]])/VALUE(mlb_payrolls[[#This Row],[Wins]]),"")</f>
        <v>1800492.4382022473</v>
      </c>
      <c r="P312" s="1">
        <f>SUM(mlb_payrolls[[#This Row],[Active 26-Man]],mlb_payrolls[[#This Row],[Injured]],mlb_payrolls[[#This Row],[Retained]],mlb_payrolls[[#This Row],[Buried]])</f>
        <v>160243827</v>
      </c>
      <c r="Q312" s="1">
        <f>mlb_payrolls[[#This Row],[Total Payroll Allocations]]-mlb_payrolls[[#This Row],[Payroll Parts Sum]]</f>
        <v>0</v>
      </c>
      <c r="R312" s="2">
        <f>IF(mlb_payrolls[[#This Row],[Total Payroll Allocations]]&gt;0, mlb_payrolls[[#This Row],[Active 26-Man]]/mlb_payrolls[[#This Row],[Total Payroll Allocations]],"")</f>
        <v>0.85394654859310115</v>
      </c>
      <c r="S312" s="2">
        <f>IF(mlb_payrolls[[#This Row],[Total Payroll Allocations]]&gt;0,mlb_payrolls[[#This Row],[Injured]]/mlb_payrolls[[#This Row],[Total Payroll Allocations]])</f>
        <v>8.4226720321650836E-2</v>
      </c>
      <c r="T312" s="3">
        <f>IF(mlb_payrolls[[#This Row],[Total Payroll Allocations]]&gt;0,mlb_payrolls[[#This Row],[Retained]]/mlb_payrolls[[#This Row],[Total Payroll Allocations]])</f>
        <v>5.8419348659215435E-2</v>
      </c>
      <c r="U312" s="3">
        <f>IF(mlb_payrolls[[#This Row],[Total Payroll Allocations]]&gt;0,mlb_payrolls[[#This Row],[Buried]]/mlb_payrolls[[#This Row],[Total Payroll Allocations]])</f>
        <v>3.4073824260325487E-3</v>
      </c>
      <c r="V312">
        <f>IF(mlb_payrolls[[#This Row],[Postseason]]="No Playoffs",0,1)</f>
        <v>0</v>
      </c>
    </row>
    <row r="313" spans="1:22" x14ac:dyDescent="0.3">
      <c r="A313" t="s">
        <v>53</v>
      </c>
      <c r="B313" t="s">
        <v>54</v>
      </c>
      <c r="C313">
        <v>2014</v>
      </c>
      <c r="D313">
        <v>28.8</v>
      </c>
      <c r="E313" s="1">
        <v>160336782</v>
      </c>
      <c r="F313" s="1">
        <v>152735333</v>
      </c>
      <c r="G313" s="1">
        <v>0</v>
      </c>
      <c r="H313" s="1">
        <v>7501449</v>
      </c>
      <c r="I313" s="1">
        <v>100000</v>
      </c>
      <c r="J313">
        <v>88</v>
      </c>
      <c r="K313">
        <v>74</v>
      </c>
      <c r="L313" t="s">
        <v>21</v>
      </c>
      <c r="M313">
        <f>mlb_payrolls[[#This Row],[Wins]] + mlb_payrolls[[#This Row],[Losses]]</f>
        <v>162</v>
      </c>
      <c r="N313" s="2">
        <f>IF(mlb_payrolls[[#This Row],[Games]] &gt;0, mlb_payrolls[[#This Row],[Wins]]/mlb_payrolls[[#This Row],[Games]], "")</f>
        <v>0.54320987654320985</v>
      </c>
      <c r="O313" s="1">
        <f>IFERROR(VALUE(mlb_payrolls[[#This Row],[Total Payroll Allocations]])/VALUE(mlb_payrolls[[#This Row],[Wins]]),"")</f>
        <v>1822008.8863636365</v>
      </c>
      <c r="P313" s="1">
        <f>SUM(mlb_payrolls[[#This Row],[Active 26-Man]],mlb_payrolls[[#This Row],[Injured]],mlb_payrolls[[#This Row],[Retained]],mlb_payrolls[[#This Row],[Buried]])</f>
        <v>160336782</v>
      </c>
      <c r="Q313" s="1">
        <f>mlb_payrolls[[#This Row],[Total Payroll Allocations]]-mlb_payrolls[[#This Row],[Payroll Parts Sum]]</f>
        <v>0</v>
      </c>
      <c r="R313" s="2">
        <f>IF(mlb_payrolls[[#This Row],[Total Payroll Allocations]]&gt;0, mlb_payrolls[[#This Row],[Active 26-Man]]/mlb_payrolls[[#This Row],[Total Payroll Allocations]],"")</f>
        <v>0.95259073491945223</v>
      </c>
      <c r="S313" s="2">
        <f>IF(mlb_payrolls[[#This Row],[Total Payroll Allocations]]&gt;0,mlb_payrolls[[#This Row],[Injured]]/mlb_payrolls[[#This Row],[Total Payroll Allocations]])</f>
        <v>0</v>
      </c>
      <c r="T313" s="3">
        <f>IF(mlb_payrolls[[#This Row],[Total Payroll Allocations]]&gt;0,mlb_payrolls[[#This Row],[Retained]]/mlb_payrolls[[#This Row],[Total Payroll Allocations]])</f>
        <v>4.6785577871957043E-2</v>
      </c>
      <c r="U313" s="3">
        <f>IF(mlb_payrolls[[#This Row],[Total Payroll Allocations]]&gt;0,mlb_payrolls[[#This Row],[Buried]]/mlb_payrolls[[#This Row],[Total Payroll Allocations]])</f>
        <v>6.2368720859072753E-4</v>
      </c>
      <c r="V313">
        <f>IF(mlb_payrolls[[#This Row],[Postseason]]="No Playoffs",0,1)</f>
        <v>1</v>
      </c>
    </row>
    <row r="314" spans="1:22" x14ac:dyDescent="0.3">
      <c r="A314" t="s">
        <v>39</v>
      </c>
      <c r="B314" t="s">
        <v>40</v>
      </c>
      <c r="C314">
        <v>2017</v>
      </c>
      <c r="D314">
        <v>28.4</v>
      </c>
      <c r="E314" s="1">
        <v>160741810</v>
      </c>
      <c r="F314" s="1">
        <v>120728483</v>
      </c>
      <c r="G314" s="1">
        <v>29449738</v>
      </c>
      <c r="H314" s="1">
        <v>9229977</v>
      </c>
      <c r="I314" s="1">
        <v>1333612</v>
      </c>
      <c r="J314">
        <v>78</v>
      </c>
      <c r="K314">
        <v>84</v>
      </c>
      <c r="L314" t="s">
        <v>14</v>
      </c>
      <c r="M314">
        <f>mlb_payrolls[[#This Row],[Wins]] + mlb_payrolls[[#This Row],[Losses]]</f>
        <v>162</v>
      </c>
      <c r="N314" s="2">
        <f>IF(mlb_payrolls[[#This Row],[Games]] &gt;0, mlb_payrolls[[#This Row],[Wins]]/mlb_payrolls[[#This Row],[Games]], "")</f>
        <v>0.48148148148148145</v>
      </c>
      <c r="O314" s="1">
        <f>IFERROR(VALUE(mlb_payrolls[[#This Row],[Total Payroll Allocations]])/VALUE(mlb_payrolls[[#This Row],[Wins]]),"")</f>
        <v>2060792.435897436</v>
      </c>
      <c r="P314" s="1">
        <f>SUM(mlb_payrolls[[#This Row],[Active 26-Man]],mlb_payrolls[[#This Row],[Injured]],mlb_payrolls[[#This Row],[Retained]],mlb_payrolls[[#This Row],[Buried]])</f>
        <v>160741810</v>
      </c>
      <c r="Q314" s="1">
        <f>mlb_payrolls[[#This Row],[Total Payroll Allocations]]-mlb_payrolls[[#This Row],[Payroll Parts Sum]]</f>
        <v>0</v>
      </c>
      <c r="R314" s="2">
        <f>IF(mlb_payrolls[[#This Row],[Total Payroll Allocations]]&gt;0, mlb_payrolls[[#This Row],[Active 26-Man]]/mlb_payrolls[[#This Row],[Total Payroll Allocations]],"")</f>
        <v>0.75107081972014622</v>
      </c>
      <c r="S314" s="2">
        <f>IF(mlb_payrolls[[#This Row],[Total Payroll Allocations]]&gt;0,mlb_payrolls[[#This Row],[Injured]]/mlb_payrolls[[#This Row],[Total Payroll Allocations]])</f>
        <v>0.18321143702438089</v>
      </c>
      <c r="T314" s="3">
        <f>IF(mlb_payrolls[[#This Row],[Total Payroll Allocations]]&gt;0,mlb_payrolls[[#This Row],[Retained]]/mlb_payrolls[[#This Row],[Total Payroll Allocations]])</f>
        <v>5.7421133929000799E-2</v>
      </c>
      <c r="U314" s="3">
        <f>IF(mlb_payrolls[[#This Row],[Total Payroll Allocations]]&gt;0,mlb_payrolls[[#This Row],[Buried]]/mlb_payrolls[[#This Row],[Total Payroll Allocations]])</f>
        <v>8.2966093264720611E-3</v>
      </c>
      <c r="V314">
        <f>IF(mlb_payrolls[[#This Row],[Postseason]]="No Playoffs",0,1)</f>
        <v>0</v>
      </c>
    </row>
    <row r="315" spans="1:22" x14ac:dyDescent="0.3">
      <c r="A315" t="s">
        <v>53</v>
      </c>
      <c r="B315" t="s">
        <v>54</v>
      </c>
      <c r="C315">
        <v>2022</v>
      </c>
      <c r="D315">
        <v>28.3</v>
      </c>
      <c r="E315" s="1">
        <v>161717317</v>
      </c>
      <c r="F315" s="1">
        <v>43246200</v>
      </c>
      <c r="G315" s="1">
        <v>90082706</v>
      </c>
      <c r="H315" s="1">
        <v>19651602</v>
      </c>
      <c r="I315" s="1">
        <v>2736809</v>
      </c>
      <c r="J315">
        <v>81</v>
      </c>
      <c r="K315">
        <v>81</v>
      </c>
      <c r="L315" t="s">
        <v>14</v>
      </c>
      <c r="M315">
        <f>mlb_payrolls[[#This Row],[Wins]] + mlb_payrolls[[#This Row],[Losses]]</f>
        <v>162</v>
      </c>
      <c r="N315" s="2">
        <f>IF(mlb_payrolls[[#This Row],[Games]] &gt;0, mlb_payrolls[[#This Row],[Wins]]/mlb_payrolls[[#This Row],[Games]], "")</f>
        <v>0.5</v>
      </c>
      <c r="O315" s="1">
        <f>IFERROR(VALUE(mlb_payrolls[[#This Row],[Total Payroll Allocations]])/VALUE(mlb_payrolls[[#This Row],[Wins]]),"")</f>
        <v>1996510.086419753</v>
      </c>
      <c r="P315" s="1">
        <f>SUM(mlb_payrolls[[#This Row],[Active 26-Man]],mlb_payrolls[[#This Row],[Injured]],mlb_payrolls[[#This Row],[Retained]],mlb_payrolls[[#This Row],[Buried]])</f>
        <v>155717317</v>
      </c>
      <c r="Q315" s="1">
        <f>mlb_payrolls[[#This Row],[Total Payroll Allocations]]-mlb_payrolls[[#This Row],[Payroll Parts Sum]]</f>
        <v>6000000</v>
      </c>
      <c r="R315" s="2">
        <f>IF(mlb_payrolls[[#This Row],[Total Payroll Allocations]]&gt;0, mlb_payrolls[[#This Row],[Active 26-Man]]/mlb_payrolls[[#This Row],[Total Payroll Allocations]],"")</f>
        <v>0.26741848555402387</v>
      </c>
      <c r="S315" s="2">
        <f>IF(mlb_payrolls[[#This Row],[Total Payroll Allocations]]&gt;0,mlb_payrolls[[#This Row],[Injured]]/mlb_payrolls[[#This Row],[Total Payroll Allocations]])</f>
        <v>0.55703809382392855</v>
      </c>
      <c r="T315" s="3">
        <f>IF(mlb_payrolls[[#This Row],[Total Payroll Allocations]]&gt;0,mlb_payrolls[[#This Row],[Retained]]/mlb_payrolls[[#This Row],[Total Payroll Allocations]])</f>
        <v>0.12151822924442902</v>
      </c>
      <c r="U315" s="3">
        <f>IF(mlb_payrolls[[#This Row],[Total Payroll Allocations]]&gt;0,mlb_payrolls[[#This Row],[Buried]]/mlb_payrolls[[#This Row],[Total Payroll Allocations]])</f>
        <v>1.6923413341070951E-2</v>
      </c>
      <c r="V315">
        <f>IF(mlb_payrolls[[#This Row],[Postseason]]="No Playoffs",0,1)</f>
        <v>0</v>
      </c>
    </row>
    <row r="316" spans="1:22" x14ac:dyDescent="0.3">
      <c r="A316" t="s">
        <v>19</v>
      </c>
      <c r="B316" t="s">
        <v>20</v>
      </c>
      <c r="C316">
        <v>2015</v>
      </c>
      <c r="D316">
        <v>27.4</v>
      </c>
      <c r="E316" s="1">
        <v>162160921</v>
      </c>
      <c r="F316" s="1">
        <v>109879336</v>
      </c>
      <c r="G316" s="1">
        <v>27072978</v>
      </c>
      <c r="H316" s="1">
        <v>25208607</v>
      </c>
      <c r="I316" s="1">
        <v>0</v>
      </c>
      <c r="J316">
        <v>74</v>
      </c>
      <c r="K316">
        <v>87</v>
      </c>
      <c r="L316" t="s">
        <v>14</v>
      </c>
      <c r="M316">
        <f>mlb_payrolls[[#This Row],[Wins]] + mlb_payrolls[[#This Row],[Losses]]</f>
        <v>161</v>
      </c>
      <c r="N316" s="2">
        <f>IF(mlb_payrolls[[#This Row],[Games]] &gt;0, mlb_payrolls[[#This Row],[Wins]]/mlb_payrolls[[#This Row],[Games]], "")</f>
        <v>0.45962732919254656</v>
      </c>
      <c r="O316" s="1">
        <f>IFERROR(VALUE(mlb_payrolls[[#This Row],[Total Payroll Allocations]])/VALUE(mlb_payrolls[[#This Row],[Wins]]),"")</f>
        <v>2191363.7972972975</v>
      </c>
      <c r="P316" s="1">
        <f>SUM(mlb_payrolls[[#This Row],[Active 26-Man]],mlb_payrolls[[#This Row],[Injured]],mlb_payrolls[[#This Row],[Retained]],mlb_payrolls[[#This Row],[Buried]])</f>
        <v>162160921</v>
      </c>
      <c r="Q316" s="1">
        <f>mlb_payrolls[[#This Row],[Total Payroll Allocations]]-mlb_payrolls[[#This Row],[Payroll Parts Sum]]</f>
        <v>0</v>
      </c>
      <c r="R316" s="2">
        <f>IF(mlb_payrolls[[#This Row],[Total Payroll Allocations]]&gt;0, mlb_payrolls[[#This Row],[Active 26-Man]]/mlb_payrolls[[#This Row],[Total Payroll Allocations]],"")</f>
        <v>0.67759442486146215</v>
      </c>
      <c r="S316" s="2">
        <f>IF(mlb_payrolls[[#This Row],[Total Payroll Allocations]]&gt;0,mlb_payrolls[[#This Row],[Injured]]/mlb_payrolls[[#This Row],[Total Payroll Allocations]])</f>
        <v>0.16695130881749248</v>
      </c>
      <c r="T316" s="3">
        <f>IF(mlb_payrolls[[#This Row],[Total Payroll Allocations]]&gt;0,mlb_payrolls[[#This Row],[Retained]]/mlb_payrolls[[#This Row],[Total Payroll Allocations]])</f>
        <v>0.15545426632104536</v>
      </c>
      <c r="U316" s="3">
        <f>IF(mlb_payrolls[[#This Row],[Total Payroll Allocations]]&gt;0,mlb_payrolls[[#This Row],[Buried]]/mlb_payrolls[[#This Row],[Total Payroll Allocations]])</f>
        <v>0</v>
      </c>
      <c r="V316">
        <f>IF(mlb_payrolls[[#This Row],[Postseason]]="No Playoffs",0,1)</f>
        <v>0</v>
      </c>
    </row>
    <row r="317" spans="1:22" x14ac:dyDescent="0.3">
      <c r="A317" t="s">
        <v>45</v>
      </c>
      <c r="B317" t="s">
        <v>46</v>
      </c>
      <c r="C317">
        <v>2018</v>
      </c>
      <c r="D317">
        <v>26.8</v>
      </c>
      <c r="E317" s="1">
        <v>162334311</v>
      </c>
      <c r="F317" s="1">
        <v>113741329</v>
      </c>
      <c r="G317" s="1">
        <v>27345600</v>
      </c>
      <c r="H317" s="1">
        <v>20907798</v>
      </c>
      <c r="I317" s="1">
        <v>339584</v>
      </c>
      <c r="J317">
        <v>88</v>
      </c>
      <c r="K317">
        <v>74</v>
      </c>
      <c r="L317" t="s">
        <v>14</v>
      </c>
      <c r="M317">
        <f>mlb_payrolls[[#This Row],[Wins]] + mlb_payrolls[[#This Row],[Losses]]</f>
        <v>162</v>
      </c>
      <c r="N317" s="2">
        <f>IF(mlb_payrolls[[#This Row],[Games]] &gt;0, mlb_payrolls[[#This Row],[Wins]]/mlb_payrolls[[#This Row],[Games]], "")</f>
        <v>0.54320987654320985</v>
      </c>
      <c r="O317" s="1">
        <f>IFERROR(VALUE(mlb_payrolls[[#This Row],[Total Payroll Allocations]])/VALUE(mlb_payrolls[[#This Row],[Wins]]),"")</f>
        <v>1844708.0795454546</v>
      </c>
      <c r="P317" s="1">
        <f>SUM(mlb_payrolls[[#This Row],[Active 26-Man]],mlb_payrolls[[#This Row],[Injured]],mlb_payrolls[[#This Row],[Retained]],mlb_payrolls[[#This Row],[Buried]])</f>
        <v>162334311</v>
      </c>
      <c r="Q317" s="1">
        <f>mlb_payrolls[[#This Row],[Total Payroll Allocations]]-mlb_payrolls[[#This Row],[Payroll Parts Sum]]</f>
        <v>0</v>
      </c>
      <c r="R317" s="2">
        <f>IF(mlb_payrolls[[#This Row],[Total Payroll Allocations]]&gt;0, mlb_payrolls[[#This Row],[Active 26-Man]]/mlb_payrolls[[#This Row],[Total Payroll Allocations]],"")</f>
        <v>0.70066105125490075</v>
      </c>
      <c r="S317" s="2">
        <f>IF(mlb_payrolls[[#This Row],[Total Payroll Allocations]]&gt;0,mlb_payrolls[[#This Row],[Injured]]/mlb_payrolls[[#This Row],[Total Payroll Allocations]])</f>
        <v>0.16845237357122858</v>
      </c>
      <c r="T317" s="3">
        <f>IF(mlb_payrolls[[#This Row],[Total Payroll Allocations]]&gt;0,mlb_payrolls[[#This Row],[Retained]]/mlb_payrolls[[#This Row],[Total Payroll Allocations]])</f>
        <v>0.128794694548585</v>
      </c>
      <c r="U317" s="3">
        <f>IF(mlb_payrolls[[#This Row],[Total Payroll Allocations]]&gt;0,mlb_payrolls[[#This Row],[Buried]]/mlb_payrolls[[#This Row],[Total Payroll Allocations]])</f>
        <v>2.09188062528568E-3</v>
      </c>
      <c r="V317">
        <f>IF(mlb_payrolls[[#This Row],[Postseason]]="No Playoffs",0,1)</f>
        <v>0</v>
      </c>
    </row>
    <row r="318" spans="1:22" x14ac:dyDescent="0.3">
      <c r="A318" t="s">
        <v>69</v>
      </c>
      <c r="B318" t="s">
        <v>70</v>
      </c>
      <c r="C318">
        <v>2023</v>
      </c>
      <c r="D318">
        <v>27.9</v>
      </c>
      <c r="E318" s="1">
        <v>162863836</v>
      </c>
      <c r="F318" s="1">
        <v>85292616</v>
      </c>
      <c r="G318" s="1">
        <v>37717329</v>
      </c>
      <c r="H318" s="1">
        <v>38812106</v>
      </c>
      <c r="I318" s="1">
        <v>1041785</v>
      </c>
      <c r="J318">
        <v>61</v>
      </c>
      <c r="K318">
        <v>101</v>
      </c>
      <c r="L318" t="s">
        <v>14</v>
      </c>
      <c r="M318">
        <f>mlb_payrolls[[#This Row],[Wins]] + mlb_payrolls[[#This Row],[Losses]]</f>
        <v>162</v>
      </c>
      <c r="N318" s="2">
        <f>IF(mlb_payrolls[[#This Row],[Games]] &gt;0, mlb_payrolls[[#This Row],[Wins]]/mlb_payrolls[[#This Row],[Games]], "")</f>
        <v>0.37654320987654322</v>
      </c>
      <c r="O318" s="1">
        <f>IFERROR(VALUE(mlb_payrolls[[#This Row],[Total Payroll Allocations]])/VALUE(mlb_payrolls[[#This Row],[Wins]]),"")</f>
        <v>2669898.9508196721</v>
      </c>
      <c r="P318" s="1">
        <f>SUM(mlb_payrolls[[#This Row],[Active 26-Man]],mlb_payrolls[[#This Row],[Injured]],mlb_payrolls[[#This Row],[Retained]],mlb_payrolls[[#This Row],[Buried]])</f>
        <v>162863836</v>
      </c>
      <c r="Q318" s="1">
        <f>mlb_payrolls[[#This Row],[Total Payroll Allocations]]-mlb_payrolls[[#This Row],[Payroll Parts Sum]]</f>
        <v>0</v>
      </c>
      <c r="R318" s="2">
        <f>IF(mlb_payrolls[[#This Row],[Total Payroll Allocations]]&gt;0, mlb_payrolls[[#This Row],[Active 26-Man]]/mlb_payrolls[[#This Row],[Total Payroll Allocations]],"")</f>
        <v>0.52370506611424772</v>
      </c>
      <c r="S318" s="2">
        <f>IF(mlb_payrolls[[#This Row],[Total Payroll Allocations]]&gt;0,mlb_payrolls[[#This Row],[Injured]]/mlb_payrolls[[#This Row],[Total Payroll Allocations]])</f>
        <v>0.23158811634523946</v>
      </c>
      <c r="T318" s="3">
        <f>IF(mlb_payrolls[[#This Row],[Total Payroll Allocations]]&gt;0,mlb_payrolls[[#This Row],[Retained]]/mlb_payrolls[[#This Row],[Total Payroll Allocations]])</f>
        <v>0.23831015499352479</v>
      </c>
      <c r="U318" s="3">
        <f>IF(mlb_payrolls[[#This Row],[Total Payroll Allocations]]&gt;0,mlb_payrolls[[#This Row],[Buried]]/mlb_payrolls[[#This Row],[Total Payroll Allocations]])</f>
        <v>6.3966625469880252E-3</v>
      </c>
      <c r="V318">
        <f>IF(mlb_payrolls[[#This Row],[Postseason]]="No Playoffs",0,1)</f>
        <v>0</v>
      </c>
    </row>
    <row r="319" spans="1:22" x14ac:dyDescent="0.3">
      <c r="A319" t="s">
        <v>55</v>
      </c>
      <c r="B319" t="s">
        <v>56</v>
      </c>
      <c r="C319">
        <v>2013</v>
      </c>
      <c r="D319">
        <v>28.8</v>
      </c>
      <c r="E319" s="1">
        <v>163536898</v>
      </c>
      <c r="F319" s="1">
        <v>154262761</v>
      </c>
      <c r="G319" s="1">
        <v>765791</v>
      </c>
      <c r="H319" s="1">
        <v>8307527</v>
      </c>
      <c r="I319" s="1">
        <v>200819</v>
      </c>
      <c r="J319">
        <v>73</v>
      </c>
      <c r="K319">
        <v>89</v>
      </c>
      <c r="L319" t="s">
        <v>14</v>
      </c>
      <c r="M319">
        <f>mlb_payrolls[[#This Row],[Wins]] + mlb_payrolls[[#This Row],[Losses]]</f>
        <v>162</v>
      </c>
      <c r="N319" s="2">
        <f>IF(mlb_payrolls[[#This Row],[Games]] &gt;0, mlb_payrolls[[#This Row],[Wins]]/mlb_payrolls[[#This Row],[Games]], "")</f>
        <v>0.45061728395061729</v>
      </c>
      <c r="O319" s="1">
        <f>IFERROR(VALUE(mlb_payrolls[[#This Row],[Total Payroll Allocations]])/VALUE(mlb_payrolls[[#This Row],[Wins]]),"")</f>
        <v>2240231.4794520549</v>
      </c>
      <c r="P319" s="1">
        <f>SUM(mlb_payrolls[[#This Row],[Active 26-Man]],mlb_payrolls[[#This Row],[Injured]],mlb_payrolls[[#This Row],[Retained]],mlb_payrolls[[#This Row],[Buried]])</f>
        <v>163536898</v>
      </c>
      <c r="Q319" s="1">
        <f>mlb_payrolls[[#This Row],[Total Payroll Allocations]]-mlb_payrolls[[#This Row],[Payroll Parts Sum]]</f>
        <v>0</v>
      </c>
      <c r="R319" s="2">
        <f>IF(mlb_payrolls[[#This Row],[Total Payroll Allocations]]&gt;0, mlb_payrolls[[#This Row],[Active 26-Man]]/mlb_payrolls[[#This Row],[Total Payroll Allocations]],"")</f>
        <v>0.94329024756235746</v>
      </c>
      <c r="S319" s="2">
        <f>IF(mlb_payrolls[[#This Row],[Total Payroll Allocations]]&gt;0,mlb_payrolls[[#This Row],[Injured]]/mlb_payrolls[[#This Row],[Total Payroll Allocations]])</f>
        <v>4.6826802352579787E-3</v>
      </c>
      <c r="T319" s="3">
        <f>IF(mlb_payrolls[[#This Row],[Total Payroll Allocations]]&gt;0,mlb_payrolls[[#This Row],[Retained]]/mlb_payrolls[[#This Row],[Total Payroll Allocations]])</f>
        <v>5.0799098561842601E-2</v>
      </c>
      <c r="U319" s="3">
        <f>IF(mlb_payrolls[[#This Row],[Total Payroll Allocations]]&gt;0,mlb_payrolls[[#This Row],[Buried]]/mlb_payrolls[[#This Row],[Total Payroll Allocations]])</f>
        <v>1.227973640541965E-3</v>
      </c>
      <c r="V319">
        <f>IF(mlb_payrolls[[#This Row],[Postseason]]="No Playoffs",0,1)</f>
        <v>0</v>
      </c>
    </row>
    <row r="320" spans="1:22" x14ac:dyDescent="0.3">
      <c r="A320" t="s">
        <v>65</v>
      </c>
      <c r="B320" t="s">
        <v>66</v>
      </c>
      <c r="C320">
        <v>2018</v>
      </c>
      <c r="D320">
        <v>28.1</v>
      </c>
      <c r="E320" s="1">
        <v>163724216</v>
      </c>
      <c r="F320" s="1">
        <v>158720510</v>
      </c>
      <c r="G320" s="1">
        <v>556400</v>
      </c>
      <c r="H320" s="1">
        <v>4027264</v>
      </c>
      <c r="I320" s="1">
        <v>420042</v>
      </c>
      <c r="J320">
        <v>103</v>
      </c>
      <c r="K320">
        <v>59</v>
      </c>
      <c r="L320" t="s">
        <v>24</v>
      </c>
      <c r="M320">
        <f>mlb_payrolls[[#This Row],[Wins]] + mlb_payrolls[[#This Row],[Losses]]</f>
        <v>162</v>
      </c>
      <c r="N320" s="2">
        <f>IF(mlb_payrolls[[#This Row],[Games]] &gt;0, mlb_payrolls[[#This Row],[Wins]]/mlb_payrolls[[#This Row],[Games]], "")</f>
        <v>0.63580246913580252</v>
      </c>
      <c r="O320" s="1">
        <f>IFERROR(VALUE(mlb_payrolls[[#This Row],[Total Payroll Allocations]])/VALUE(mlb_payrolls[[#This Row],[Wins]]),"")</f>
        <v>1589555.495145631</v>
      </c>
      <c r="P320" s="1">
        <f>SUM(mlb_payrolls[[#This Row],[Active 26-Man]],mlb_payrolls[[#This Row],[Injured]],mlb_payrolls[[#This Row],[Retained]],mlb_payrolls[[#This Row],[Buried]])</f>
        <v>163724216</v>
      </c>
      <c r="Q320" s="1">
        <f>mlb_payrolls[[#This Row],[Total Payroll Allocations]]-mlb_payrolls[[#This Row],[Payroll Parts Sum]]</f>
        <v>0</v>
      </c>
      <c r="R320" s="2">
        <f>IF(mlb_payrolls[[#This Row],[Total Payroll Allocations]]&gt;0, mlb_payrolls[[#This Row],[Active 26-Man]]/mlb_payrolls[[#This Row],[Total Payroll Allocations]],"")</f>
        <v>0.96943820454757901</v>
      </c>
      <c r="S320" s="2">
        <f>IF(mlb_payrolls[[#This Row],[Total Payroll Allocations]]&gt;0,mlb_payrolls[[#This Row],[Injured]]/mlb_payrolls[[#This Row],[Total Payroll Allocations]])</f>
        <v>3.3983977055660479E-3</v>
      </c>
      <c r="T320" s="3">
        <f>IF(mlb_payrolls[[#This Row],[Total Payroll Allocations]]&gt;0,mlb_payrolls[[#This Row],[Retained]]/mlb_payrolls[[#This Row],[Total Payroll Allocations]])</f>
        <v>2.4597851792431243E-2</v>
      </c>
      <c r="U320" s="3">
        <f>IF(mlb_payrolls[[#This Row],[Total Payroll Allocations]]&gt;0,mlb_payrolls[[#This Row],[Buried]]/mlb_payrolls[[#This Row],[Total Payroll Allocations]])</f>
        <v>2.5655459544237486E-3</v>
      </c>
      <c r="V320">
        <f>IF(mlb_payrolls[[#This Row],[Postseason]]="No Playoffs",0,1)</f>
        <v>1</v>
      </c>
    </row>
    <row r="321" spans="1:22" x14ac:dyDescent="0.3">
      <c r="A321" t="s">
        <v>59</v>
      </c>
      <c r="B321" t="s">
        <v>60</v>
      </c>
      <c r="C321">
        <v>2014</v>
      </c>
      <c r="D321">
        <v>28.6</v>
      </c>
      <c r="E321" s="1">
        <v>165244781</v>
      </c>
      <c r="F321" s="1">
        <v>132293502</v>
      </c>
      <c r="G321" s="1">
        <v>0</v>
      </c>
      <c r="H321" s="1">
        <v>32051279</v>
      </c>
      <c r="I321" s="1">
        <v>900000</v>
      </c>
      <c r="J321">
        <v>98</v>
      </c>
      <c r="K321">
        <v>64</v>
      </c>
      <c r="L321" t="s">
        <v>24</v>
      </c>
      <c r="M321">
        <f>mlb_payrolls[[#This Row],[Wins]] + mlb_payrolls[[#This Row],[Losses]]</f>
        <v>162</v>
      </c>
      <c r="N321" s="2">
        <f>IF(mlb_payrolls[[#This Row],[Games]] &gt;0, mlb_payrolls[[#This Row],[Wins]]/mlb_payrolls[[#This Row],[Games]], "")</f>
        <v>0.60493827160493829</v>
      </c>
      <c r="O321" s="1">
        <f>IFERROR(VALUE(mlb_payrolls[[#This Row],[Total Payroll Allocations]])/VALUE(mlb_payrolls[[#This Row],[Wins]]),"")</f>
        <v>1686171.2346938776</v>
      </c>
      <c r="P321" s="1">
        <f>SUM(mlb_payrolls[[#This Row],[Active 26-Man]],mlb_payrolls[[#This Row],[Injured]],mlb_payrolls[[#This Row],[Retained]],mlb_payrolls[[#This Row],[Buried]])</f>
        <v>165244781</v>
      </c>
      <c r="Q321" s="1">
        <f>mlb_payrolls[[#This Row],[Total Payroll Allocations]]-mlb_payrolls[[#This Row],[Payroll Parts Sum]]</f>
        <v>0</v>
      </c>
      <c r="R321" s="2">
        <f>IF(mlb_payrolls[[#This Row],[Total Payroll Allocations]]&gt;0, mlb_payrolls[[#This Row],[Active 26-Man]]/mlb_payrolls[[#This Row],[Total Payroll Allocations]],"")</f>
        <v>0.80059110611184747</v>
      </c>
      <c r="S321" s="2">
        <f>IF(mlb_payrolls[[#This Row],[Total Payroll Allocations]]&gt;0,mlb_payrolls[[#This Row],[Injured]]/mlb_payrolls[[#This Row],[Total Payroll Allocations]])</f>
        <v>0</v>
      </c>
      <c r="T321" s="3">
        <f>IF(mlb_payrolls[[#This Row],[Total Payroll Allocations]]&gt;0,mlb_payrolls[[#This Row],[Retained]]/mlb_payrolls[[#This Row],[Total Payroll Allocations]])</f>
        <v>0.19396242838071842</v>
      </c>
      <c r="U321" s="3">
        <f>IF(mlb_payrolls[[#This Row],[Total Payroll Allocations]]&gt;0,mlb_payrolls[[#This Row],[Buried]]/mlb_payrolls[[#This Row],[Total Payroll Allocations]])</f>
        <v>5.4464655074340897E-3</v>
      </c>
      <c r="V321">
        <f>IF(mlb_payrolls[[#This Row],[Postseason]]="No Playoffs",0,1)</f>
        <v>1</v>
      </c>
    </row>
    <row r="322" spans="1:22" x14ac:dyDescent="0.3">
      <c r="A322" t="s">
        <v>33</v>
      </c>
      <c r="B322" t="s">
        <v>34</v>
      </c>
      <c r="C322">
        <v>2015</v>
      </c>
      <c r="D322">
        <v>28</v>
      </c>
      <c r="E322" s="1">
        <v>165655095</v>
      </c>
      <c r="F322" s="1">
        <v>146009803</v>
      </c>
      <c r="G322" s="1">
        <v>17556549</v>
      </c>
      <c r="H322" s="1">
        <v>2000000</v>
      </c>
      <c r="I322" s="1">
        <v>88743</v>
      </c>
      <c r="J322">
        <v>83</v>
      </c>
      <c r="K322">
        <v>79</v>
      </c>
      <c r="L322" t="s">
        <v>14</v>
      </c>
      <c r="M322">
        <f>mlb_payrolls[[#This Row],[Wins]] + mlb_payrolls[[#This Row],[Losses]]</f>
        <v>162</v>
      </c>
      <c r="N322" s="2">
        <f>IF(mlb_payrolls[[#This Row],[Games]] &gt;0, mlb_payrolls[[#This Row],[Wins]]/mlb_payrolls[[#This Row],[Games]], "")</f>
        <v>0.51234567901234573</v>
      </c>
      <c r="O322" s="1">
        <f>IFERROR(VALUE(mlb_payrolls[[#This Row],[Total Payroll Allocations]])/VALUE(mlb_payrolls[[#This Row],[Wins]]),"")</f>
        <v>1995844.5180722892</v>
      </c>
      <c r="P322" s="1">
        <f>SUM(mlb_payrolls[[#This Row],[Active 26-Man]],mlb_payrolls[[#This Row],[Injured]],mlb_payrolls[[#This Row],[Retained]],mlb_payrolls[[#This Row],[Buried]])</f>
        <v>165655095</v>
      </c>
      <c r="Q322" s="1">
        <f>mlb_payrolls[[#This Row],[Total Payroll Allocations]]-mlb_payrolls[[#This Row],[Payroll Parts Sum]]</f>
        <v>0</v>
      </c>
      <c r="R322" s="2">
        <f>IF(mlb_payrolls[[#This Row],[Total Payroll Allocations]]&gt;0, mlb_payrolls[[#This Row],[Active 26-Man]]/mlb_payrolls[[#This Row],[Total Payroll Allocations]],"")</f>
        <v>0.88140846497960113</v>
      </c>
      <c r="S322" s="2">
        <f>IF(mlb_payrolls[[#This Row],[Total Payroll Allocations]]&gt;0,mlb_payrolls[[#This Row],[Injured]]/mlb_payrolls[[#This Row],[Total Payroll Allocations]])</f>
        <v>0.10598254765420889</v>
      </c>
      <c r="T322" s="3">
        <f>IF(mlb_payrolls[[#This Row],[Total Payroll Allocations]]&gt;0,mlb_payrolls[[#This Row],[Retained]]/mlb_payrolls[[#This Row],[Total Payroll Allocations]])</f>
        <v>1.2073277915176711E-2</v>
      </c>
      <c r="U322" s="3">
        <f>IF(mlb_payrolls[[#This Row],[Total Payroll Allocations]]&gt;0,mlb_payrolls[[#This Row],[Buried]]/mlb_payrolls[[#This Row],[Total Payroll Allocations]])</f>
        <v>5.357094510132634E-4</v>
      </c>
      <c r="V322">
        <f>IF(mlb_payrolls[[#This Row],[Postseason]]="No Playoffs",0,1)</f>
        <v>0</v>
      </c>
    </row>
    <row r="323" spans="1:22" x14ac:dyDescent="0.3">
      <c r="A323" t="s">
        <v>59</v>
      </c>
      <c r="B323" t="s">
        <v>60</v>
      </c>
      <c r="C323">
        <v>2017</v>
      </c>
      <c r="D323">
        <v>28.9</v>
      </c>
      <c r="E323" s="1">
        <v>166161209</v>
      </c>
      <c r="F323" s="1">
        <v>114610825</v>
      </c>
      <c r="G323" s="1">
        <v>16095730</v>
      </c>
      <c r="H323" s="1">
        <v>34823286</v>
      </c>
      <c r="I323" s="1">
        <v>631368</v>
      </c>
      <c r="J323">
        <v>80</v>
      </c>
      <c r="K323">
        <v>82</v>
      </c>
      <c r="L323" t="s">
        <v>14</v>
      </c>
      <c r="M323">
        <f>mlb_payrolls[[#This Row],[Wins]] + mlb_payrolls[[#This Row],[Losses]]</f>
        <v>162</v>
      </c>
      <c r="N323" s="2">
        <f>IF(mlb_payrolls[[#This Row],[Games]] &gt;0, mlb_payrolls[[#This Row],[Wins]]/mlb_payrolls[[#This Row],[Games]], "")</f>
        <v>0.49382716049382713</v>
      </c>
      <c r="O323" s="1">
        <f>IFERROR(VALUE(mlb_payrolls[[#This Row],[Total Payroll Allocations]])/VALUE(mlb_payrolls[[#This Row],[Wins]]),"")</f>
        <v>2077015.1125</v>
      </c>
      <c r="P323" s="1">
        <f>SUM(mlb_payrolls[[#This Row],[Active 26-Man]],mlb_payrolls[[#This Row],[Injured]],mlb_payrolls[[#This Row],[Retained]],mlb_payrolls[[#This Row],[Buried]])</f>
        <v>166161209</v>
      </c>
      <c r="Q323" s="1">
        <f>mlb_payrolls[[#This Row],[Total Payroll Allocations]]-mlb_payrolls[[#This Row],[Payroll Parts Sum]]</f>
        <v>0</v>
      </c>
      <c r="R323" s="2">
        <f>IF(mlb_payrolls[[#This Row],[Total Payroll Allocations]]&gt;0, mlb_payrolls[[#This Row],[Active 26-Man]]/mlb_payrolls[[#This Row],[Total Payroll Allocations]],"")</f>
        <v>0.68975680719800248</v>
      </c>
      <c r="S323" s="2">
        <f>IF(mlb_payrolls[[#This Row],[Total Payroll Allocations]]&gt;0,mlb_payrolls[[#This Row],[Injured]]/mlb_payrolls[[#This Row],[Total Payroll Allocations]])</f>
        <v>9.6868156514195808E-2</v>
      </c>
      <c r="T323" s="3">
        <f>IF(mlb_payrolls[[#This Row],[Total Payroll Allocations]]&gt;0,mlb_payrolls[[#This Row],[Retained]]/mlb_payrolls[[#This Row],[Total Payroll Allocations]])</f>
        <v>0.20957530466692739</v>
      </c>
      <c r="U323" s="3">
        <f>IF(mlb_payrolls[[#This Row],[Total Payroll Allocations]]&gt;0,mlb_payrolls[[#This Row],[Buried]]/mlb_payrolls[[#This Row],[Total Payroll Allocations]])</f>
        <v>3.7997316208742801E-3</v>
      </c>
      <c r="V323">
        <f>IF(mlb_payrolls[[#This Row],[Postseason]]="No Playoffs",0,1)</f>
        <v>0</v>
      </c>
    </row>
    <row r="324" spans="1:22" x14ac:dyDescent="0.3">
      <c r="A324" t="s">
        <v>65</v>
      </c>
      <c r="B324" t="s">
        <v>66</v>
      </c>
      <c r="C324">
        <v>2019</v>
      </c>
      <c r="D324">
        <v>28.5</v>
      </c>
      <c r="E324" s="1">
        <v>167138259</v>
      </c>
      <c r="F324" s="1">
        <v>153370215</v>
      </c>
      <c r="G324" s="1">
        <v>11713065</v>
      </c>
      <c r="H324" s="1">
        <v>1777467</v>
      </c>
      <c r="I324" s="1">
        <v>277512</v>
      </c>
      <c r="J324">
        <v>107</v>
      </c>
      <c r="K324">
        <v>55</v>
      </c>
      <c r="L324" t="s">
        <v>24</v>
      </c>
      <c r="M324">
        <f>mlb_payrolls[[#This Row],[Wins]] + mlb_payrolls[[#This Row],[Losses]]</f>
        <v>162</v>
      </c>
      <c r="N324" s="2">
        <f>IF(mlb_payrolls[[#This Row],[Games]] &gt;0, mlb_payrolls[[#This Row],[Wins]]/mlb_payrolls[[#This Row],[Games]], "")</f>
        <v>0.66049382716049387</v>
      </c>
      <c r="O324" s="1">
        <f>IFERROR(VALUE(mlb_payrolls[[#This Row],[Total Payroll Allocations]])/VALUE(mlb_payrolls[[#This Row],[Wins]]),"")</f>
        <v>1562039.8037383177</v>
      </c>
      <c r="P324" s="1">
        <f>SUM(mlb_payrolls[[#This Row],[Active 26-Man]],mlb_payrolls[[#This Row],[Injured]],mlb_payrolls[[#This Row],[Retained]],mlb_payrolls[[#This Row],[Buried]])</f>
        <v>167138259</v>
      </c>
      <c r="Q324" s="1">
        <f>mlb_payrolls[[#This Row],[Total Payroll Allocations]]-mlb_payrolls[[#This Row],[Payroll Parts Sum]]</f>
        <v>0</v>
      </c>
      <c r="R324" s="2">
        <f>IF(mlb_payrolls[[#This Row],[Total Payroll Allocations]]&gt;0, mlb_payrolls[[#This Row],[Active 26-Man]]/mlb_payrolls[[#This Row],[Total Payroll Allocations]],"")</f>
        <v>0.91762482101719156</v>
      </c>
      <c r="S324" s="2">
        <f>IF(mlb_payrolls[[#This Row],[Total Payroll Allocations]]&gt;0,mlb_payrolls[[#This Row],[Injured]]/mlb_payrolls[[#This Row],[Total Payroll Allocations]])</f>
        <v>7.0080094588038044E-2</v>
      </c>
      <c r="T324" s="3">
        <f>IF(mlb_payrolls[[#This Row],[Total Payroll Allocations]]&gt;0,mlb_payrolls[[#This Row],[Retained]]/mlb_payrolls[[#This Row],[Total Payroll Allocations]])</f>
        <v>1.0634710512330992E-2</v>
      </c>
      <c r="U324" s="3">
        <f>IF(mlb_payrolls[[#This Row],[Total Payroll Allocations]]&gt;0,mlb_payrolls[[#This Row],[Buried]]/mlb_payrolls[[#This Row],[Total Payroll Allocations]])</f>
        <v>1.6603738824394478E-3</v>
      </c>
      <c r="V324">
        <f>IF(mlb_payrolls[[#This Row],[Postseason]]="No Playoffs",0,1)</f>
        <v>1</v>
      </c>
    </row>
    <row r="325" spans="1:22" x14ac:dyDescent="0.3">
      <c r="A325" t="s">
        <v>55</v>
      </c>
      <c r="B325" t="s">
        <v>56</v>
      </c>
      <c r="C325">
        <v>2011</v>
      </c>
      <c r="D325">
        <v>29.9</v>
      </c>
      <c r="E325" s="1">
        <v>170018182</v>
      </c>
      <c r="F325" s="1">
        <v>169849882</v>
      </c>
      <c r="G325" s="1">
        <v>0</v>
      </c>
      <c r="H325" s="1">
        <v>168300</v>
      </c>
      <c r="I325" s="1">
        <v>0</v>
      </c>
      <c r="J325">
        <v>102</v>
      </c>
      <c r="K325">
        <v>60</v>
      </c>
      <c r="L325" t="s">
        <v>24</v>
      </c>
      <c r="M325">
        <f>mlb_payrolls[[#This Row],[Wins]] + mlb_payrolls[[#This Row],[Losses]]</f>
        <v>162</v>
      </c>
      <c r="N325" s="2">
        <f>IF(mlb_payrolls[[#This Row],[Games]] &gt;0, mlb_payrolls[[#This Row],[Wins]]/mlb_payrolls[[#This Row],[Games]], "")</f>
        <v>0.62962962962962965</v>
      </c>
      <c r="O325" s="1">
        <f>IFERROR(VALUE(mlb_payrolls[[#This Row],[Total Payroll Allocations]])/VALUE(mlb_payrolls[[#This Row],[Wins]]),"")</f>
        <v>1666844.9215686275</v>
      </c>
      <c r="P325" s="1">
        <f>SUM(mlb_payrolls[[#This Row],[Active 26-Man]],mlb_payrolls[[#This Row],[Injured]],mlb_payrolls[[#This Row],[Retained]],mlb_payrolls[[#This Row],[Buried]])</f>
        <v>170018182</v>
      </c>
      <c r="Q325" s="1">
        <f>mlb_payrolls[[#This Row],[Total Payroll Allocations]]-mlb_payrolls[[#This Row],[Payroll Parts Sum]]</f>
        <v>0</v>
      </c>
      <c r="R325" s="2">
        <f>IF(mlb_payrolls[[#This Row],[Total Payroll Allocations]]&gt;0, mlb_payrolls[[#This Row],[Active 26-Man]]/mlb_payrolls[[#This Row],[Total Payroll Allocations]],"")</f>
        <v>0.99901010587208838</v>
      </c>
      <c r="S325" s="2">
        <f>IF(mlb_payrolls[[#This Row],[Total Payroll Allocations]]&gt;0,mlb_payrolls[[#This Row],[Injured]]/mlb_payrolls[[#This Row],[Total Payroll Allocations]])</f>
        <v>0</v>
      </c>
      <c r="T325" s="3">
        <f>IF(mlb_payrolls[[#This Row],[Total Payroll Allocations]]&gt;0,mlb_payrolls[[#This Row],[Retained]]/mlb_payrolls[[#This Row],[Total Payroll Allocations]])</f>
        <v>9.898941279115666E-4</v>
      </c>
      <c r="U325" s="3">
        <f>IF(mlb_payrolls[[#This Row],[Total Payroll Allocations]]&gt;0,mlb_payrolls[[#This Row],[Buried]]/mlb_payrolls[[#This Row],[Total Payroll Allocations]])</f>
        <v>0</v>
      </c>
      <c r="V325">
        <f>IF(mlb_payrolls[[#This Row],[Postseason]]="No Playoffs",0,1)</f>
        <v>1</v>
      </c>
    </row>
    <row r="326" spans="1:22" x14ac:dyDescent="0.3">
      <c r="A326" t="s">
        <v>47</v>
      </c>
      <c r="B326" t="s">
        <v>48</v>
      </c>
      <c r="C326">
        <v>2014</v>
      </c>
      <c r="D326">
        <v>27.7</v>
      </c>
      <c r="E326" s="1">
        <v>170095758</v>
      </c>
      <c r="F326" s="1">
        <v>95417971</v>
      </c>
      <c r="G326" s="1">
        <v>0</v>
      </c>
      <c r="H326" s="1">
        <v>61397733</v>
      </c>
      <c r="I326" s="1">
        <v>30054</v>
      </c>
      <c r="J326">
        <v>71</v>
      </c>
      <c r="K326">
        <v>91</v>
      </c>
      <c r="L326" t="s">
        <v>14</v>
      </c>
      <c r="M326">
        <f>mlb_payrolls[[#This Row],[Wins]] + mlb_payrolls[[#This Row],[Losses]]</f>
        <v>162</v>
      </c>
      <c r="N326" s="2">
        <f>IF(mlb_payrolls[[#This Row],[Games]] &gt;0, mlb_payrolls[[#This Row],[Wins]]/mlb_payrolls[[#This Row],[Games]], "")</f>
        <v>0.43827160493827161</v>
      </c>
      <c r="O326" s="1">
        <f>IFERROR(VALUE(mlb_payrolls[[#This Row],[Total Payroll Allocations]])/VALUE(mlb_payrolls[[#This Row],[Wins]]),"")</f>
        <v>2395714.9014084507</v>
      </c>
      <c r="P326" s="1">
        <f>SUM(mlb_payrolls[[#This Row],[Active 26-Man]],mlb_payrolls[[#This Row],[Injured]],mlb_payrolls[[#This Row],[Retained]],mlb_payrolls[[#This Row],[Buried]])</f>
        <v>156845758</v>
      </c>
      <c r="Q326" s="1">
        <f>mlb_payrolls[[#This Row],[Total Payroll Allocations]]-mlb_payrolls[[#This Row],[Payroll Parts Sum]]</f>
        <v>13250000</v>
      </c>
      <c r="R326" s="2">
        <f>IF(mlb_payrolls[[#This Row],[Total Payroll Allocations]]&gt;0, mlb_payrolls[[#This Row],[Active 26-Man]]/mlb_payrolls[[#This Row],[Total Payroll Allocations]],"")</f>
        <v>0.56096619999188924</v>
      </c>
      <c r="S326" s="2">
        <f>IF(mlb_payrolls[[#This Row],[Total Payroll Allocations]]&gt;0,mlb_payrolls[[#This Row],[Injured]]/mlb_payrolls[[#This Row],[Total Payroll Allocations]])</f>
        <v>0</v>
      </c>
      <c r="T326" s="3">
        <f>IF(mlb_payrolls[[#This Row],[Total Payroll Allocations]]&gt;0,mlb_payrolls[[#This Row],[Retained]]/mlb_payrolls[[#This Row],[Total Payroll Allocations]])</f>
        <v>0.36095981300133306</v>
      </c>
      <c r="U326" s="3">
        <f>IF(mlb_payrolls[[#This Row],[Total Payroll Allocations]]&gt;0,mlb_payrolls[[#This Row],[Buried]]/mlb_payrolls[[#This Row],[Total Payroll Allocations]])</f>
        <v>1.7668870966200111E-4</v>
      </c>
      <c r="V326">
        <f>IF(mlb_payrolls[[#This Row],[Postseason]]="No Playoffs",0,1)</f>
        <v>0</v>
      </c>
    </row>
    <row r="327" spans="1:22" x14ac:dyDescent="0.3">
      <c r="A327" t="s">
        <v>47</v>
      </c>
      <c r="B327" t="s">
        <v>48</v>
      </c>
      <c r="C327">
        <v>2011</v>
      </c>
      <c r="D327">
        <v>28.9</v>
      </c>
      <c r="E327" s="1">
        <v>170490761</v>
      </c>
      <c r="F327" s="1">
        <v>162455090</v>
      </c>
      <c r="G327" s="1">
        <v>0</v>
      </c>
      <c r="H327" s="1">
        <v>8239278</v>
      </c>
      <c r="I327" s="1">
        <v>0</v>
      </c>
      <c r="J327">
        <v>90</v>
      </c>
      <c r="K327">
        <v>72</v>
      </c>
      <c r="L327" t="s">
        <v>14</v>
      </c>
      <c r="M327">
        <f>mlb_payrolls[[#This Row],[Wins]] + mlb_payrolls[[#This Row],[Losses]]</f>
        <v>162</v>
      </c>
      <c r="N327" s="2">
        <f>IF(mlb_payrolls[[#This Row],[Games]] &gt;0, mlb_payrolls[[#This Row],[Wins]]/mlb_payrolls[[#This Row],[Games]], "")</f>
        <v>0.55555555555555558</v>
      </c>
      <c r="O327" s="1">
        <f>IFERROR(VALUE(mlb_payrolls[[#This Row],[Total Payroll Allocations]])/VALUE(mlb_payrolls[[#This Row],[Wins]]),"")</f>
        <v>1894341.7888888889</v>
      </c>
      <c r="P327" s="1">
        <f>SUM(mlb_payrolls[[#This Row],[Active 26-Man]],mlb_payrolls[[#This Row],[Injured]],mlb_payrolls[[#This Row],[Retained]],mlb_payrolls[[#This Row],[Buried]])</f>
        <v>170694368</v>
      </c>
      <c r="Q327" s="1">
        <f>mlb_payrolls[[#This Row],[Total Payroll Allocations]]-mlb_payrolls[[#This Row],[Payroll Parts Sum]]</f>
        <v>-203607</v>
      </c>
      <c r="R327" s="2">
        <f>IF(mlb_payrolls[[#This Row],[Total Payroll Allocations]]&gt;0, mlb_payrolls[[#This Row],[Active 26-Man]]/mlb_payrolls[[#This Row],[Total Payroll Allocations]],"")</f>
        <v>0.9528674108035684</v>
      </c>
      <c r="S327" s="2">
        <f>IF(mlb_payrolls[[#This Row],[Total Payroll Allocations]]&gt;0,mlb_payrolls[[#This Row],[Injured]]/mlb_payrolls[[#This Row],[Total Payroll Allocations]])</f>
        <v>0</v>
      </c>
      <c r="T327" s="3">
        <f>IF(mlb_payrolls[[#This Row],[Total Payroll Allocations]]&gt;0,mlb_payrolls[[#This Row],[Retained]]/mlb_payrolls[[#This Row],[Total Payroll Allocations]])</f>
        <v>4.8326829862645755E-2</v>
      </c>
      <c r="U327" s="3">
        <f>IF(mlb_payrolls[[#This Row],[Total Payroll Allocations]]&gt;0,mlb_payrolls[[#This Row],[Buried]]/mlb_payrolls[[#This Row],[Total Payroll Allocations]])</f>
        <v>0</v>
      </c>
      <c r="V327">
        <f>IF(mlb_payrolls[[#This Row],[Postseason]]="No Playoffs",0,1)</f>
        <v>0</v>
      </c>
    </row>
    <row r="328" spans="1:22" x14ac:dyDescent="0.3">
      <c r="A328" t="s">
        <v>41</v>
      </c>
      <c r="B328" t="s">
        <v>42</v>
      </c>
      <c r="C328">
        <v>2024</v>
      </c>
      <c r="D328">
        <v>30</v>
      </c>
      <c r="E328" s="1">
        <v>170855090</v>
      </c>
      <c r="F328" s="1">
        <v>142394254</v>
      </c>
      <c r="G328" s="1">
        <v>9034386</v>
      </c>
      <c r="H328" s="1">
        <v>19045542</v>
      </c>
      <c r="I328" s="1">
        <v>2437482</v>
      </c>
      <c r="J328">
        <v>93</v>
      </c>
      <c r="K328">
        <v>69</v>
      </c>
      <c r="L328" t="s">
        <v>21</v>
      </c>
      <c r="M328">
        <f>mlb_payrolls[[#This Row],[Wins]] + mlb_payrolls[[#This Row],[Losses]]</f>
        <v>162</v>
      </c>
      <c r="N328" s="2">
        <f>IF(mlb_payrolls[[#This Row],[Games]] &gt;0, mlb_payrolls[[#This Row],[Wins]]/mlb_payrolls[[#This Row],[Games]], "")</f>
        <v>0.57407407407407407</v>
      </c>
      <c r="O328" s="1">
        <f>IFERROR(VALUE(mlb_payrolls[[#This Row],[Total Payroll Allocations]])/VALUE(mlb_payrolls[[#This Row],[Wins]]),"")</f>
        <v>1837151.5053763441</v>
      </c>
      <c r="P328" s="1">
        <f>SUM(mlb_payrolls[[#This Row],[Active 26-Man]],mlb_payrolls[[#This Row],[Injured]],mlb_payrolls[[#This Row],[Retained]],mlb_payrolls[[#This Row],[Buried]])</f>
        <v>172911664</v>
      </c>
      <c r="Q328" s="1">
        <f>mlb_payrolls[[#This Row],[Total Payroll Allocations]]-mlb_payrolls[[#This Row],[Payroll Parts Sum]]</f>
        <v>-2056574</v>
      </c>
      <c r="R328" s="2">
        <f>IF(mlb_payrolls[[#This Row],[Total Payroll Allocations]]&gt;0, mlb_payrolls[[#This Row],[Active 26-Man]]/mlb_payrolls[[#This Row],[Total Payroll Allocations]],"")</f>
        <v>0.83342119921624813</v>
      </c>
      <c r="S328" s="2">
        <f>IF(mlb_payrolls[[#This Row],[Total Payroll Allocations]]&gt;0,mlb_payrolls[[#This Row],[Injured]]/mlb_payrolls[[#This Row],[Total Payroll Allocations]])</f>
        <v>5.2877476462656163E-2</v>
      </c>
      <c r="T328" s="3">
        <f>IF(mlb_payrolls[[#This Row],[Total Payroll Allocations]]&gt;0,mlb_payrolls[[#This Row],[Retained]]/mlb_payrolls[[#This Row],[Total Payroll Allocations]])</f>
        <v>0.11147190288565591</v>
      </c>
      <c r="U328" s="3">
        <f>IF(mlb_payrolls[[#This Row],[Total Payroll Allocations]]&gt;0,mlb_payrolls[[#This Row],[Buried]]/mlb_payrolls[[#This Row],[Total Payroll Allocations]])</f>
        <v>1.4266370407811672E-2</v>
      </c>
      <c r="V328">
        <f>IF(mlb_payrolls[[#This Row],[Postseason]]="No Playoffs",0,1)</f>
        <v>1</v>
      </c>
    </row>
    <row r="329" spans="1:22" x14ac:dyDescent="0.3">
      <c r="A329" t="s">
        <v>49</v>
      </c>
      <c r="B329" t="s">
        <v>50</v>
      </c>
      <c r="C329">
        <v>2023</v>
      </c>
      <c r="D329">
        <v>28.1</v>
      </c>
      <c r="E329" s="1">
        <v>171026607</v>
      </c>
      <c r="F329" s="1">
        <v>75181741</v>
      </c>
      <c r="G329" s="1">
        <v>46742764</v>
      </c>
      <c r="H329" s="1">
        <v>47613189</v>
      </c>
      <c r="I329" s="1">
        <v>1488913</v>
      </c>
      <c r="J329">
        <v>59</v>
      </c>
      <c r="K329">
        <v>103</v>
      </c>
      <c r="L329" t="s">
        <v>14</v>
      </c>
      <c r="M329">
        <f>mlb_payrolls[[#This Row],[Wins]] + mlb_payrolls[[#This Row],[Losses]]</f>
        <v>162</v>
      </c>
      <c r="N329" s="2">
        <f>IF(mlb_payrolls[[#This Row],[Games]] &gt;0, mlb_payrolls[[#This Row],[Wins]]/mlb_payrolls[[#This Row],[Games]], "")</f>
        <v>0.36419753086419754</v>
      </c>
      <c r="O329" s="1">
        <f>IFERROR(VALUE(mlb_payrolls[[#This Row],[Total Payroll Allocations]])/VALUE(mlb_payrolls[[#This Row],[Wins]]),"")</f>
        <v>2898756.0508474577</v>
      </c>
      <c r="P329" s="1">
        <f>SUM(mlb_payrolls[[#This Row],[Active 26-Man]],mlb_payrolls[[#This Row],[Injured]],mlb_payrolls[[#This Row],[Retained]],mlb_payrolls[[#This Row],[Buried]])</f>
        <v>171026607</v>
      </c>
      <c r="Q329" s="1">
        <f>mlb_payrolls[[#This Row],[Total Payroll Allocations]]-mlb_payrolls[[#This Row],[Payroll Parts Sum]]</f>
        <v>0</v>
      </c>
      <c r="R329" s="2">
        <f>IF(mlb_payrolls[[#This Row],[Total Payroll Allocations]]&gt;0, mlb_payrolls[[#This Row],[Active 26-Man]]/mlb_payrolls[[#This Row],[Total Payroll Allocations]],"")</f>
        <v>0.43959090529112815</v>
      </c>
      <c r="S329" s="2">
        <f>IF(mlb_payrolls[[#This Row],[Total Payroll Allocations]]&gt;0,mlb_payrolls[[#This Row],[Injured]]/mlb_payrolls[[#This Row],[Total Payroll Allocations]])</f>
        <v>0.27330697147023447</v>
      </c>
      <c r="T329" s="3">
        <f>IF(mlb_payrolls[[#This Row],[Total Payroll Allocations]]&gt;0,mlb_payrolls[[#This Row],[Retained]]/mlb_payrolls[[#This Row],[Total Payroll Allocations]])</f>
        <v>0.27839638425382551</v>
      </c>
      <c r="U329" s="3">
        <f>IF(mlb_payrolls[[#This Row],[Total Payroll Allocations]]&gt;0,mlb_payrolls[[#This Row],[Buried]]/mlb_payrolls[[#This Row],[Total Payroll Allocations]])</f>
        <v>8.7057389848118772E-3</v>
      </c>
      <c r="V329">
        <f>IF(mlb_payrolls[[#This Row],[Postseason]]="No Playoffs",0,1)</f>
        <v>0</v>
      </c>
    </row>
    <row r="330" spans="1:22" x14ac:dyDescent="0.3">
      <c r="A330" t="s">
        <v>53</v>
      </c>
      <c r="B330" t="s">
        <v>54</v>
      </c>
      <c r="C330">
        <v>2021</v>
      </c>
      <c r="D330">
        <v>29.6</v>
      </c>
      <c r="E330" s="1">
        <v>171191545</v>
      </c>
      <c r="F330" s="1">
        <v>134386796</v>
      </c>
      <c r="G330" s="1">
        <v>19766740</v>
      </c>
      <c r="H330" s="1">
        <v>12958219</v>
      </c>
      <c r="I330" s="1">
        <v>4079790</v>
      </c>
      <c r="J330">
        <v>107</v>
      </c>
      <c r="K330">
        <v>55</v>
      </c>
      <c r="L330" t="s">
        <v>24</v>
      </c>
      <c r="M330">
        <f>mlb_payrolls[[#This Row],[Wins]] + mlb_payrolls[[#This Row],[Losses]]</f>
        <v>162</v>
      </c>
      <c r="N330" s="2">
        <f>IF(mlb_payrolls[[#This Row],[Games]] &gt;0, mlb_payrolls[[#This Row],[Wins]]/mlb_payrolls[[#This Row],[Games]], "")</f>
        <v>0.66049382716049387</v>
      </c>
      <c r="O330" s="1">
        <f>IFERROR(VALUE(mlb_payrolls[[#This Row],[Total Payroll Allocations]])/VALUE(mlb_payrolls[[#This Row],[Wins]]),"")</f>
        <v>1599920.9813084111</v>
      </c>
      <c r="P330" s="1">
        <f>SUM(mlb_payrolls[[#This Row],[Active 26-Man]],mlb_payrolls[[#This Row],[Injured]],mlb_payrolls[[#This Row],[Retained]],mlb_payrolls[[#This Row],[Buried]])</f>
        <v>171191545</v>
      </c>
      <c r="Q330" s="1">
        <f>mlb_payrolls[[#This Row],[Total Payroll Allocations]]-mlb_payrolls[[#This Row],[Payroll Parts Sum]]</f>
        <v>0</v>
      </c>
      <c r="R330" s="2">
        <f>IF(mlb_payrolls[[#This Row],[Total Payroll Allocations]]&gt;0, mlb_payrolls[[#This Row],[Active 26-Man]]/mlb_payrolls[[#This Row],[Total Payroll Allocations]],"")</f>
        <v>0.78500837176275262</v>
      </c>
      <c r="S330" s="2">
        <f>IF(mlb_payrolls[[#This Row],[Total Payroll Allocations]]&gt;0,mlb_payrolls[[#This Row],[Injured]]/mlb_payrolls[[#This Row],[Total Payroll Allocations]])</f>
        <v>0.11546563237103795</v>
      </c>
      <c r="T330" s="3">
        <f>IF(mlb_payrolls[[#This Row],[Total Payroll Allocations]]&gt;0,mlb_payrolls[[#This Row],[Retained]]/mlb_payrolls[[#This Row],[Total Payroll Allocations]])</f>
        <v>7.5694269830907823E-2</v>
      </c>
      <c r="U330" s="3">
        <f>IF(mlb_payrolls[[#This Row],[Total Payroll Allocations]]&gt;0,mlb_payrolls[[#This Row],[Buried]]/mlb_payrolls[[#This Row],[Total Payroll Allocations]])</f>
        <v>2.3831726035301568E-2</v>
      </c>
      <c r="V330">
        <f>IF(mlb_payrolls[[#This Row],[Postseason]]="No Playoffs",0,1)</f>
        <v>1</v>
      </c>
    </row>
    <row r="331" spans="1:22" x14ac:dyDescent="0.3">
      <c r="A331" t="s">
        <v>47</v>
      </c>
      <c r="B331" t="s">
        <v>48</v>
      </c>
      <c r="C331">
        <v>2013</v>
      </c>
      <c r="D331">
        <v>28.9</v>
      </c>
      <c r="E331" s="1">
        <v>172084264</v>
      </c>
      <c r="F331" s="1">
        <v>167018895</v>
      </c>
      <c r="G331" s="1">
        <v>0</v>
      </c>
      <c r="H331" s="1">
        <v>5340903</v>
      </c>
      <c r="I331" s="1">
        <v>96393</v>
      </c>
      <c r="J331">
        <v>97</v>
      </c>
      <c r="K331">
        <v>65</v>
      </c>
      <c r="L331" t="s">
        <v>24</v>
      </c>
      <c r="M331">
        <f>mlb_payrolls[[#This Row],[Wins]] + mlb_payrolls[[#This Row],[Losses]]</f>
        <v>162</v>
      </c>
      <c r="N331" s="2">
        <f>IF(mlb_payrolls[[#This Row],[Games]] &gt;0, mlb_payrolls[[#This Row],[Wins]]/mlb_payrolls[[#This Row],[Games]], "")</f>
        <v>0.59876543209876543</v>
      </c>
      <c r="O331" s="1">
        <f>IFERROR(VALUE(mlb_payrolls[[#This Row],[Total Payroll Allocations]])/VALUE(mlb_payrolls[[#This Row],[Wins]]),"")</f>
        <v>1774064.5773195876</v>
      </c>
      <c r="P331" s="1">
        <f>SUM(mlb_payrolls[[#This Row],[Active 26-Man]],mlb_payrolls[[#This Row],[Injured]],mlb_payrolls[[#This Row],[Retained]],mlb_payrolls[[#This Row],[Buried]])</f>
        <v>172456191</v>
      </c>
      <c r="Q331" s="1">
        <f>mlb_payrolls[[#This Row],[Total Payroll Allocations]]-mlb_payrolls[[#This Row],[Payroll Parts Sum]]</f>
        <v>-371927</v>
      </c>
      <c r="R331" s="2">
        <f>IF(mlb_payrolls[[#This Row],[Total Payroll Allocations]]&gt;0, mlb_payrolls[[#This Row],[Active 26-Man]]/mlb_payrolls[[#This Row],[Total Payroll Allocations]],"")</f>
        <v>0.97056460083996987</v>
      </c>
      <c r="S331" s="2">
        <f>IF(mlb_payrolls[[#This Row],[Total Payroll Allocations]]&gt;0,mlb_payrolls[[#This Row],[Injured]]/mlb_payrolls[[#This Row],[Total Payroll Allocations]])</f>
        <v>0</v>
      </c>
      <c r="T331" s="3">
        <f>IF(mlb_payrolls[[#This Row],[Total Payroll Allocations]]&gt;0,mlb_payrolls[[#This Row],[Retained]]/mlb_payrolls[[#This Row],[Total Payroll Allocations]])</f>
        <v>3.1036556602293399E-2</v>
      </c>
      <c r="U331" s="3">
        <f>IF(mlb_payrolls[[#This Row],[Total Payroll Allocations]]&gt;0,mlb_payrolls[[#This Row],[Buried]]/mlb_payrolls[[#This Row],[Total Payroll Allocations]])</f>
        <v>5.601499972129933E-4</v>
      </c>
      <c r="V331">
        <f>IF(mlb_payrolls[[#This Row],[Postseason]]="No Playoffs",0,1)</f>
        <v>1</v>
      </c>
    </row>
    <row r="332" spans="1:22" x14ac:dyDescent="0.3">
      <c r="A332" t="s">
        <v>61</v>
      </c>
      <c r="B332" t="s">
        <v>62</v>
      </c>
      <c r="C332">
        <v>2017</v>
      </c>
      <c r="D332">
        <v>28.4</v>
      </c>
      <c r="E332" s="1">
        <v>172092536</v>
      </c>
      <c r="F332" s="1">
        <v>161127834</v>
      </c>
      <c r="G332" s="1">
        <v>0</v>
      </c>
      <c r="H332" s="1">
        <v>10748400</v>
      </c>
      <c r="I332" s="1">
        <v>216302</v>
      </c>
      <c r="J332">
        <v>92</v>
      </c>
      <c r="K332">
        <v>70</v>
      </c>
      <c r="L332" t="s">
        <v>24</v>
      </c>
      <c r="M332">
        <f>mlb_payrolls[[#This Row],[Wins]] + mlb_payrolls[[#This Row],[Losses]]</f>
        <v>162</v>
      </c>
      <c r="N332" s="2">
        <f>IF(mlb_payrolls[[#This Row],[Games]] &gt;0, mlb_payrolls[[#This Row],[Wins]]/mlb_payrolls[[#This Row],[Games]], "")</f>
        <v>0.5679012345679012</v>
      </c>
      <c r="O332" s="1">
        <f>IFERROR(VALUE(mlb_payrolls[[#This Row],[Total Payroll Allocations]])/VALUE(mlb_payrolls[[#This Row],[Wins]]),"")</f>
        <v>1870571.043478261</v>
      </c>
      <c r="P332" s="1">
        <f>SUM(mlb_payrolls[[#This Row],[Active 26-Man]],mlb_payrolls[[#This Row],[Injured]],mlb_payrolls[[#This Row],[Retained]],mlb_payrolls[[#This Row],[Buried]])</f>
        <v>172092536</v>
      </c>
      <c r="Q332" s="1">
        <f>mlb_payrolls[[#This Row],[Total Payroll Allocations]]-mlb_payrolls[[#This Row],[Payroll Parts Sum]]</f>
        <v>0</v>
      </c>
      <c r="R332" s="2">
        <f>IF(mlb_payrolls[[#This Row],[Total Payroll Allocations]]&gt;0, mlb_payrolls[[#This Row],[Active 26-Man]]/mlb_payrolls[[#This Row],[Total Payroll Allocations]],"")</f>
        <v>0.93628601068439132</v>
      </c>
      <c r="S332" s="2">
        <f>IF(mlb_payrolls[[#This Row],[Total Payroll Allocations]]&gt;0,mlb_payrolls[[#This Row],[Injured]]/mlb_payrolls[[#This Row],[Total Payroll Allocations]])</f>
        <v>0</v>
      </c>
      <c r="T332" s="3">
        <f>IF(mlb_payrolls[[#This Row],[Total Payroll Allocations]]&gt;0,mlb_payrolls[[#This Row],[Retained]]/mlb_payrolls[[#This Row],[Total Payroll Allocations]])</f>
        <v>6.2457095756901393E-2</v>
      </c>
      <c r="U332" s="3">
        <f>IF(mlb_payrolls[[#This Row],[Total Payroll Allocations]]&gt;0,mlb_payrolls[[#This Row],[Buried]]/mlb_payrolls[[#This Row],[Total Payroll Allocations]])</f>
        <v>1.256893558707276E-3</v>
      </c>
      <c r="V332">
        <f>IF(mlb_payrolls[[#This Row],[Postseason]]="No Playoffs",0,1)</f>
        <v>1</v>
      </c>
    </row>
    <row r="333" spans="1:22" x14ac:dyDescent="0.3">
      <c r="A333" t="s">
        <v>19</v>
      </c>
      <c r="B333" t="s">
        <v>20</v>
      </c>
      <c r="C333">
        <v>2014</v>
      </c>
      <c r="D333">
        <v>27.8</v>
      </c>
      <c r="E333" s="1">
        <v>172143106</v>
      </c>
      <c r="F333" s="1">
        <v>148590789</v>
      </c>
      <c r="G333" s="1">
        <v>15800000</v>
      </c>
      <c r="H333" s="1">
        <v>7255247</v>
      </c>
      <c r="I333" s="1">
        <v>497070</v>
      </c>
      <c r="J333">
        <v>90</v>
      </c>
      <c r="K333">
        <v>72</v>
      </c>
      <c r="L333" t="s">
        <v>24</v>
      </c>
      <c r="M333">
        <f>mlb_payrolls[[#This Row],[Wins]] + mlb_payrolls[[#This Row],[Losses]]</f>
        <v>162</v>
      </c>
      <c r="N333" s="2">
        <f>IF(mlb_payrolls[[#This Row],[Games]] &gt;0, mlb_payrolls[[#This Row],[Wins]]/mlb_payrolls[[#This Row],[Games]], "")</f>
        <v>0.55555555555555558</v>
      </c>
      <c r="O333" s="1">
        <f>IFERROR(VALUE(mlb_payrolls[[#This Row],[Total Payroll Allocations]])/VALUE(mlb_payrolls[[#This Row],[Wins]]),"")</f>
        <v>1912701.1777777779</v>
      </c>
      <c r="P333" s="1">
        <f>SUM(mlb_payrolls[[#This Row],[Active 26-Man]],mlb_payrolls[[#This Row],[Injured]],mlb_payrolls[[#This Row],[Retained]],mlb_payrolls[[#This Row],[Buried]])</f>
        <v>172143106</v>
      </c>
      <c r="Q333" s="1">
        <f>mlb_payrolls[[#This Row],[Total Payroll Allocations]]-mlb_payrolls[[#This Row],[Payroll Parts Sum]]</f>
        <v>0</v>
      </c>
      <c r="R333" s="2">
        <f>IF(mlb_payrolls[[#This Row],[Total Payroll Allocations]]&gt;0, mlb_payrolls[[#This Row],[Active 26-Man]]/mlb_payrolls[[#This Row],[Total Payroll Allocations]],"")</f>
        <v>0.86318175878620429</v>
      </c>
      <c r="S333" s="2">
        <f>IF(mlb_payrolls[[#This Row],[Total Payroll Allocations]]&gt;0,mlb_payrolls[[#This Row],[Injured]]/mlb_payrolls[[#This Row],[Total Payroll Allocations]])</f>
        <v>9.1784099678089925E-2</v>
      </c>
      <c r="T333" s="3">
        <f>IF(mlb_payrolls[[#This Row],[Total Payroll Allocations]]&gt;0,mlb_payrolls[[#This Row],[Retained]]/mlb_payrolls[[#This Row],[Total Payroll Allocations]])</f>
        <v>4.214660214159259E-2</v>
      </c>
      <c r="U333" s="3">
        <f>IF(mlb_payrolls[[#This Row],[Total Payroll Allocations]]&gt;0,mlb_payrolls[[#This Row],[Buried]]/mlb_payrolls[[#This Row],[Total Payroll Allocations]])</f>
        <v>2.8875393941131746E-3</v>
      </c>
      <c r="V333">
        <f>IF(mlb_payrolls[[#This Row],[Postseason]]="No Playoffs",0,1)</f>
        <v>1</v>
      </c>
    </row>
    <row r="334" spans="1:22" x14ac:dyDescent="0.3">
      <c r="A334" t="s">
        <v>59</v>
      </c>
      <c r="B334" t="s">
        <v>60</v>
      </c>
      <c r="C334">
        <v>2024</v>
      </c>
      <c r="D334">
        <v>27.4</v>
      </c>
      <c r="E334" s="1">
        <v>172189987</v>
      </c>
      <c r="F334" s="1">
        <v>40083433</v>
      </c>
      <c r="G334" s="1">
        <v>108620160</v>
      </c>
      <c r="H334" s="1">
        <v>18817429</v>
      </c>
      <c r="I334" s="1">
        <v>5873804</v>
      </c>
      <c r="J334">
        <v>63</v>
      </c>
      <c r="K334">
        <v>99</v>
      </c>
      <c r="L334" t="s">
        <v>14</v>
      </c>
      <c r="M334">
        <f>mlb_payrolls[[#This Row],[Wins]] + mlb_payrolls[[#This Row],[Losses]]</f>
        <v>162</v>
      </c>
      <c r="N334" s="2">
        <f>IF(mlb_payrolls[[#This Row],[Games]] &gt;0, mlb_payrolls[[#This Row],[Wins]]/mlb_payrolls[[#This Row],[Games]], "")</f>
        <v>0.3888888888888889</v>
      </c>
      <c r="O334" s="1">
        <f>IFERROR(VALUE(mlb_payrolls[[#This Row],[Total Payroll Allocations]])/VALUE(mlb_payrolls[[#This Row],[Wins]]),"")</f>
        <v>2733174.3968253969</v>
      </c>
      <c r="P334" s="1">
        <f>SUM(mlb_payrolls[[#This Row],[Active 26-Man]],mlb_payrolls[[#This Row],[Injured]],mlb_payrolls[[#This Row],[Retained]],mlb_payrolls[[#This Row],[Buried]])</f>
        <v>173394826</v>
      </c>
      <c r="Q334" s="1">
        <f>mlb_payrolls[[#This Row],[Total Payroll Allocations]]-mlb_payrolls[[#This Row],[Payroll Parts Sum]]</f>
        <v>-1204839</v>
      </c>
      <c r="R334" s="2">
        <f>IF(mlb_payrolls[[#This Row],[Total Payroll Allocations]]&gt;0, mlb_payrolls[[#This Row],[Active 26-Man]]/mlb_payrolls[[#This Row],[Total Payroll Allocations]],"")</f>
        <v>0.23278608529077827</v>
      </c>
      <c r="S334" s="2">
        <f>IF(mlb_payrolls[[#This Row],[Total Payroll Allocations]]&gt;0,mlb_payrolls[[#This Row],[Injured]]/mlb_payrolls[[#This Row],[Total Payroll Allocations]])</f>
        <v>0.63081577443873083</v>
      </c>
      <c r="T334" s="3">
        <f>IF(mlb_payrolls[[#This Row],[Total Payroll Allocations]]&gt;0,mlb_payrolls[[#This Row],[Retained]]/mlb_payrolls[[#This Row],[Total Payroll Allocations]])</f>
        <v>0.10928294570345719</v>
      </c>
      <c r="U334" s="3">
        <f>IF(mlb_payrolls[[#This Row],[Total Payroll Allocations]]&gt;0,mlb_payrolls[[#This Row],[Buried]]/mlb_payrolls[[#This Row],[Total Payroll Allocations]])</f>
        <v>3.4112343594055794E-2</v>
      </c>
      <c r="V334">
        <f>IF(mlb_payrolls[[#This Row],[Postseason]]="No Playoffs",0,1)</f>
        <v>0</v>
      </c>
    </row>
    <row r="335" spans="1:22" x14ac:dyDescent="0.3">
      <c r="A335" t="s">
        <v>33</v>
      </c>
      <c r="B335" t="s">
        <v>34</v>
      </c>
      <c r="C335">
        <v>2019</v>
      </c>
      <c r="D335">
        <v>29.4</v>
      </c>
      <c r="E335" s="1">
        <v>172307808</v>
      </c>
      <c r="F335" s="1">
        <v>155857858</v>
      </c>
      <c r="G335" s="1">
        <v>1369684</v>
      </c>
      <c r="H335" s="1">
        <v>14062625</v>
      </c>
      <c r="I335" s="1">
        <v>1017641</v>
      </c>
      <c r="J335">
        <v>93</v>
      </c>
      <c r="K335">
        <v>69</v>
      </c>
      <c r="L335" t="s">
        <v>21</v>
      </c>
      <c r="M335">
        <f>mlb_payrolls[[#This Row],[Wins]] + mlb_payrolls[[#This Row],[Losses]]</f>
        <v>162</v>
      </c>
      <c r="N335" s="2">
        <f>IF(mlb_payrolls[[#This Row],[Games]] &gt;0, mlb_payrolls[[#This Row],[Wins]]/mlb_payrolls[[#This Row],[Games]], "")</f>
        <v>0.57407407407407407</v>
      </c>
      <c r="O335" s="1">
        <f>IFERROR(VALUE(mlb_payrolls[[#This Row],[Total Payroll Allocations]])/VALUE(mlb_payrolls[[#This Row],[Wins]]),"")</f>
        <v>1852772.1290322582</v>
      </c>
      <c r="P335" s="1">
        <f>SUM(mlb_payrolls[[#This Row],[Active 26-Man]],mlb_payrolls[[#This Row],[Injured]],mlb_payrolls[[#This Row],[Retained]],mlb_payrolls[[#This Row],[Buried]])</f>
        <v>172307808</v>
      </c>
      <c r="Q335" s="1">
        <f>mlb_payrolls[[#This Row],[Total Payroll Allocations]]-mlb_payrolls[[#This Row],[Payroll Parts Sum]]</f>
        <v>0</v>
      </c>
      <c r="R335" s="2">
        <f>IF(mlb_payrolls[[#This Row],[Total Payroll Allocations]]&gt;0, mlb_payrolls[[#This Row],[Active 26-Man]]/mlb_payrolls[[#This Row],[Total Payroll Allocations]],"")</f>
        <v>0.90453160427877999</v>
      </c>
      <c r="S335" s="2">
        <f>IF(mlb_payrolls[[#This Row],[Total Payroll Allocations]]&gt;0,mlb_payrolls[[#This Row],[Injured]]/mlb_payrolls[[#This Row],[Total Payroll Allocations]])</f>
        <v>7.9490535913497307E-3</v>
      </c>
      <c r="T335" s="3">
        <f>IF(mlb_payrolls[[#This Row],[Total Payroll Allocations]]&gt;0,mlb_payrolls[[#This Row],[Retained]]/mlb_payrolls[[#This Row],[Total Payroll Allocations]])</f>
        <v>8.1613393863149836E-2</v>
      </c>
      <c r="U335" s="3">
        <f>IF(mlb_payrolls[[#This Row],[Total Payroll Allocations]]&gt;0,mlb_payrolls[[#This Row],[Buried]]/mlb_payrolls[[#This Row],[Total Payroll Allocations]])</f>
        <v>5.9059482667204498E-3</v>
      </c>
      <c r="V335">
        <f>IF(mlb_payrolls[[#This Row],[Postseason]]="No Playoffs",0,1)</f>
        <v>1</v>
      </c>
    </row>
    <row r="336" spans="1:22" x14ac:dyDescent="0.3">
      <c r="A336" t="s">
        <v>43</v>
      </c>
      <c r="B336" t="s">
        <v>44</v>
      </c>
      <c r="C336">
        <v>2024</v>
      </c>
      <c r="D336">
        <v>28.9</v>
      </c>
      <c r="E336" s="1">
        <v>172806829</v>
      </c>
      <c r="F336" s="1">
        <v>134502970</v>
      </c>
      <c r="G336" s="1">
        <v>9600600</v>
      </c>
      <c r="H336" s="1">
        <v>25631063</v>
      </c>
      <c r="I336" s="1">
        <v>3001465</v>
      </c>
      <c r="J336">
        <v>89</v>
      </c>
      <c r="K336">
        <v>73</v>
      </c>
      <c r="L336" t="s">
        <v>14</v>
      </c>
      <c r="M336">
        <f>mlb_payrolls[[#This Row],[Wins]] + mlb_payrolls[[#This Row],[Losses]]</f>
        <v>162</v>
      </c>
      <c r="N336" s="2">
        <f>IF(mlb_payrolls[[#This Row],[Games]] &gt;0, mlb_payrolls[[#This Row],[Wins]]/mlb_payrolls[[#This Row],[Games]], "")</f>
        <v>0.54938271604938271</v>
      </c>
      <c r="O336" s="1">
        <f>IFERROR(VALUE(mlb_payrolls[[#This Row],[Total Payroll Allocations]])/VALUE(mlb_payrolls[[#This Row],[Wins]]),"")</f>
        <v>1941649.7640449437</v>
      </c>
      <c r="P336" s="1">
        <f>SUM(mlb_payrolls[[#This Row],[Active 26-Man]],mlb_payrolls[[#This Row],[Injured]],mlb_payrolls[[#This Row],[Retained]],mlb_payrolls[[#This Row],[Buried]])</f>
        <v>172736098</v>
      </c>
      <c r="Q336" s="1">
        <f>mlb_payrolls[[#This Row],[Total Payroll Allocations]]-mlb_payrolls[[#This Row],[Payroll Parts Sum]]</f>
        <v>70731</v>
      </c>
      <c r="R336" s="2">
        <f>IF(mlb_payrolls[[#This Row],[Total Payroll Allocations]]&gt;0, mlb_payrolls[[#This Row],[Active 26-Man]]/mlb_payrolls[[#This Row],[Total Payroll Allocations]],"")</f>
        <v>0.7783429091219537</v>
      </c>
      <c r="S336" s="2">
        <f>IF(mlb_payrolls[[#This Row],[Total Payroll Allocations]]&gt;0,mlb_payrolls[[#This Row],[Injured]]/mlb_payrolls[[#This Row],[Total Payroll Allocations]])</f>
        <v>5.5556832189774169E-2</v>
      </c>
      <c r="T336" s="3">
        <f>IF(mlb_payrolls[[#This Row],[Total Payroll Allocations]]&gt;0,mlb_payrolls[[#This Row],[Retained]]/mlb_payrolls[[#This Row],[Total Payroll Allocations]])</f>
        <v>0.14832204924031098</v>
      </c>
      <c r="U336" s="3">
        <f>IF(mlb_payrolls[[#This Row],[Total Payroll Allocations]]&gt;0,mlb_payrolls[[#This Row],[Buried]]/mlb_payrolls[[#This Row],[Total Payroll Allocations]])</f>
        <v>1.7368902706964201E-2</v>
      </c>
      <c r="V336">
        <f>IF(mlb_payrolls[[#This Row],[Postseason]]="No Playoffs",0,1)</f>
        <v>0</v>
      </c>
    </row>
    <row r="337" spans="1:22" x14ac:dyDescent="0.3">
      <c r="A337" t="s">
        <v>47</v>
      </c>
      <c r="B337" t="s">
        <v>48</v>
      </c>
      <c r="C337">
        <v>2012</v>
      </c>
      <c r="D337">
        <v>28.5</v>
      </c>
      <c r="E337" s="1">
        <v>173216551</v>
      </c>
      <c r="F337" s="1">
        <v>166392780</v>
      </c>
      <c r="G337" s="1">
        <v>0</v>
      </c>
      <c r="H337" s="1">
        <v>6823771</v>
      </c>
      <c r="I337" s="1">
        <v>0</v>
      </c>
      <c r="J337">
        <v>69</v>
      </c>
      <c r="K337">
        <v>93</v>
      </c>
      <c r="L337" t="s">
        <v>14</v>
      </c>
      <c r="M337">
        <f>mlb_payrolls[[#This Row],[Wins]] + mlb_payrolls[[#This Row],[Losses]]</f>
        <v>162</v>
      </c>
      <c r="N337" s="2">
        <f>IF(mlb_payrolls[[#This Row],[Games]] &gt;0, mlb_payrolls[[#This Row],[Wins]]/mlb_payrolls[[#This Row],[Games]], "")</f>
        <v>0.42592592592592593</v>
      </c>
      <c r="O337" s="1">
        <f>IFERROR(VALUE(mlb_payrolls[[#This Row],[Total Payroll Allocations]])/VALUE(mlb_payrolls[[#This Row],[Wins]]),"")</f>
        <v>2510384.7971014492</v>
      </c>
      <c r="P337" s="1">
        <f>SUM(mlb_payrolls[[#This Row],[Active 26-Man]],mlb_payrolls[[#This Row],[Injured]],mlb_payrolls[[#This Row],[Retained]],mlb_payrolls[[#This Row],[Buried]])</f>
        <v>173216551</v>
      </c>
      <c r="Q337" s="1">
        <f>mlb_payrolls[[#This Row],[Total Payroll Allocations]]-mlb_payrolls[[#This Row],[Payroll Parts Sum]]</f>
        <v>0</v>
      </c>
      <c r="R337" s="2">
        <f>IF(mlb_payrolls[[#This Row],[Total Payroll Allocations]]&gt;0, mlb_payrolls[[#This Row],[Active 26-Man]]/mlb_payrolls[[#This Row],[Total Payroll Allocations]],"")</f>
        <v>0.96060554860026048</v>
      </c>
      <c r="S337" s="2">
        <f>IF(mlb_payrolls[[#This Row],[Total Payroll Allocations]]&gt;0,mlb_payrolls[[#This Row],[Injured]]/mlb_payrolls[[#This Row],[Total Payroll Allocations]])</f>
        <v>0</v>
      </c>
      <c r="T337" s="3">
        <f>IF(mlb_payrolls[[#This Row],[Total Payroll Allocations]]&gt;0,mlb_payrolls[[#This Row],[Retained]]/mlb_payrolls[[#This Row],[Total Payroll Allocations]])</f>
        <v>3.9394451399739509E-2</v>
      </c>
      <c r="U337" s="3">
        <f>IF(mlb_payrolls[[#This Row],[Total Payroll Allocations]]&gt;0,mlb_payrolls[[#This Row],[Buried]]/mlb_payrolls[[#This Row],[Total Payroll Allocations]])</f>
        <v>0</v>
      </c>
      <c r="V337">
        <f>IF(mlb_payrolls[[#This Row],[Postseason]]="No Playoffs",0,1)</f>
        <v>0</v>
      </c>
    </row>
    <row r="338" spans="1:22" x14ac:dyDescent="0.3">
      <c r="A338" t="s">
        <v>45</v>
      </c>
      <c r="B338" t="s">
        <v>46</v>
      </c>
      <c r="C338">
        <v>2019</v>
      </c>
      <c r="D338">
        <v>27.3</v>
      </c>
      <c r="E338" s="1">
        <v>173544423</v>
      </c>
      <c r="F338" s="1">
        <v>135268456</v>
      </c>
      <c r="G338" s="1">
        <v>21794083</v>
      </c>
      <c r="H338" s="1">
        <v>16427751</v>
      </c>
      <c r="I338" s="1">
        <v>54133</v>
      </c>
      <c r="J338">
        <v>91</v>
      </c>
      <c r="K338">
        <v>71</v>
      </c>
      <c r="L338" t="s">
        <v>24</v>
      </c>
      <c r="M338">
        <f>mlb_payrolls[[#This Row],[Wins]] + mlb_payrolls[[#This Row],[Losses]]</f>
        <v>162</v>
      </c>
      <c r="N338" s="2">
        <f>IF(mlb_payrolls[[#This Row],[Games]] &gt;0, mlb_payrolls[[#This Row],[Wins]]/mlb_payrolls[[#This Row],[Games]], "")</f>
        <v>0.56172839506172845</v>
      </c>
      <c r="O338" s="1">
        <f>IFERROR(VALUE(mlb_payrolls[[#This Row],[Total Payroll Allocations]])/VALUE(mlb_payrolls[[#This Row],[Wins]]),"")</f>
        <v>1907081.5714285714</v>
      </c>
      <c r="P338" s="1">
        <f>SUM(mlb_payrolls[[#This Row],[Active 26-Man]],mlb_payrolls[[#This Row],[Injured]],mlb_payrolls[[#This Row],[Retained]],mlb_payrolls[[#This Row],[Buried]])</f>
        <v>173544423</v>
      </c>
      <c r="Q338" s="1">
        <f>mlb_payrolls[[#This Row],[Total Payroll Allocations]]-mlb_payrolls[[#This Row],[Payroll Parts Sum]]</f>
        <v>0</v>
      </c>
      <c r="R338" s="2">
        <f>IF(mlb_payrolls[[#This Row],[Total Payroll Allocations]]&gt;0, mlb_payrolls[[#This Row],[Active 26-Man]]/mlb_payrolls[[#This Row],[Total Payroll Allocations]],"")</f>
        <v>0.77944570998977014</v>
      </c>
      <c r="S338" s="2">
        <f>IF(mlb_payrolls[[#This Row],[Total Payroll Allocations]]&gt;0,mlb_payrolls[[#This Row],[Injured]]/mlb_payrolls[[#This Row],[Total Payroll Allocations]])</f>
        <v>0.12558215714024989</v>
      </c>
      <c r="T338" s="3">
        <f>IF(mlb_payrolls[[#This Row],[Total Payroll Allocations]]&gt;0,mlb_payrolls[[#This Row],[Retained]]/mlb_payrolls[[#This Row],[Total Payroll Allocations]])</f>
        <v>9.4660206971905983E-2</v>
      </c>
      <c r="U338" s="3">
        <f>IF(mlb_payrolls[[#This Row],[Total Payroll Allocations]]&gt;0,mlb_payrolls[[#This Row],[Buried]]/mlb_payrolls[[#This Row],[Total Payroll Allocations]])</f>
        <v>3.119258980739473E-4</v>
      </c>
      <c r="V338">
        <f>IF(mlb_payrolls[[#This Row],[Postseason]]="No Playoffs",0,1)</f>
        <v>1</v>
      </c>
    </row>
    <row r="339" spans="1:22" x14ac:dyDescent="0.3">
      <c r="A339" t="s">
        <v>59</v>
      </c>
      <c r="B339" t="s">
        <v>60</v>
      </c>
      <c r="C339">
        <v>2018</v>
      </c>
      <c r="D339">
        <v>27.5</v>
      </c>
      <c r="E339" s="1">
        <v>173717599</v>
      </c>
      <c r="F339" s="1">
        <v>91914083</v>
      </c>
      <c r="G339" s="1">
        <v>57532566</v>
      </c>
      <c r="H339" s="1">
        <v>24127380</v>
      </c>
      <c r="I339" s="1">
        <v>143570</v>
      </c>
      <c r="J339">
        <v>80</v>
      </c>
      <c r="K339">
        <v>82</v>
      </c>
      <c r="L339" t="s">
        <v>14</v>
      </c>
      <c r="M339">
        <f>mlb_payrolls[[#This Row],[Wins]] + mlb_payrolls[[#This Row],[Losses]]</f>
        <v>162</v>
      </c>
      <c r="N339" s="2">
        <f>IF(mlb_payrolls[[#This Row],[Games]] &gt;0, mlb_payrolls[[#This Row],[Wins]]/mlb_payrolls[[#This Row],[Games]], "")</f>
        <v>0.49382716049382713</v>
      </c>
      <c r="O339" s="1">
        <f>IFERROR(VALUE(mlb_payrolls[[#This Row],[Total Payroll Allocations]])/VALUE(mlb_payrolls[[#This Row],[Wins]]),"")</f>
        <v>2171469.9874999998</v>
      </c>
      <c r="P339" s="1">
        <f>SUM(mlb_payrolls[[#This Row],[Active 26-Man]],mlb_payrolls[[#This Row],[Injured]],mlb_payrolls[[#This Row],[Retained]],mlb_payrolls[[#This Row],[Buried]])</f>
        <v>173717599</v>
      </c>
      <c r="Q339" s="1">
        <f>mlb_payrolls[[#This Row],[Total Payroll Allocations]]-mlb_payrolls[[#This Row],[Payroll Parts Sum]]</f>
        <v>0</v>
      </c>
      <c r="R339" s="2">
        <f>IF(mlb_payrolls[[#This Row],[Total Payroll Allocations]]&gt;0, mlb_payrolls[[#This Row],[Active 26-Man]]/mlb_payrolls[[#This Row],[Total Payroll Allocations]],"")</f>
        <v>0.52910058352809719</v>
      </c>
      <c r="S339" s="2">
        <f>IF(mlb_payrolls[[#This Row],[Total Payroll Allocations]]&gt;0,mlb_payrolls[[#This Row],[Injured]]/mlb_payrolls[[#This Row],[Total Payroll Allocations]])</f>
        <v>0.33118444147964538</v>
      </c>
      <c r="T339" s="3">
        <f>IF(mlb_payrolls[[#This Row],[Total Payroll Allocations]]&gt;0,mlb_payrolls[[#This Row],[Retained]]/mlb_payrolls[[#This Row],[Total Payroll Allocations]])</f>
        <v>0.13888851871594196</v>
      </c>
      <c r="U339" s="3">
        <f>IF(mlb_payrolls[[#This Row],[Total Payroll Allocations]]&gt;0,mlb_payrolls[[#This Row],[Buried]]/mlb_payrolls[[#This Row],[Total Payroll Allocations]])</f>
        <v>8.2645627631544691E-4</v>
      </c>
      <c r="V339">
        <f>IF(mlb_payrolls[[#This Row],[Postseason]]="No Playoffs",0,1)</f>
        <v>0</v>
      </c>
    </row>
    <row r="340" spans="1:22" x14ac:dyDescent="0.3">
      <c r="A340" t="s">
        <v>25</v>
      </c>
      <c r="B340" t="s">
        <v>26</v>
      </c>
      <c r="C340">
        <v>2017</v>
      </c>
      <c r="D340">
        <v>27.9</v>
      </c>
      <c r="E340" s="1">
        <v>174129785</v>
      </c>
      <c r="F340" s="1">
        <v>163560704</v>
      </c>
      <c r="G340" s="1">
        <v>0</v>
      </c>
      <c r="H340" s="1">
        <v>7267168</v>
      </c>
      <c r="I340" s="1">
        <v>3301913</v>
      </c>
      <c r="J340">
        <v>75</v>
      </c>
      <c r="K340">
        <v>87</v>
      </c>
      <c r="L340" t="s">
        <v>14</v>
      </c>
      <c r="M340">
        <f>mlb_payrolls[[#This Row],[Wins]] + mlb_payrolls[[#This Row],[Losses]]</f>
        <v>162</v>
      </c>
      <c r="N340" s="2">
        <f>IF(mlb_payrolls[[#This Row],[Games]] &gt;0, mlb_payrolls[[#This Row],[Wins]]/mlb_payrolls[[#This Row],[Games]], "")</f>
        <v>0.46296296296296297</v>
      </c>
      <c r="O340" s="1">
        <f>IFERROR(VALUE(mlb_payrolls[[#This Row],[Total Payroll Allocations]])/VALUE(mlb_payrolls[[#This Row],[Wins]]),"")</f>
        <v>2321730.4666666668</v>
      </c>
      <c r="P340" s="1">
        <f>SUM(mlb_payrolls[[#This Row],[Active 26-Man]],mlb_payrolls[[#This Row],[Injured]],mlb_payrolls[[#This Row],[Retained]],mlb_payrolls[[#This Row],[Buried]])</f>
        <v>174129785</v>
      </c>
      <c r="Q340" s="1">
        <f>mlb_payrolls[[#This Row],[Total Payroll Allocations]]-mlb_payrolls[[#This Row],[Payroll Parts Sum]]</f>
        <v>0</v>
      </c>
      <c r="R340" s="2">
        <f>IF(mlb_payrolls[[#This Row],[Total Payroll Allocations]]&gt;0, mlb_payrolls[[#This Row],[Active 26-Man]]/mlb_payrolls[[#This Row],[Total Payroll Allocations]],"")</f>
        <v>0.93930342818719958</v>
      </c>
      <c r="S340" s="2">
        <f>IF(mlb_payrolls[[#This Row],[Total Payroll Allocations]]&gt;0,mlb_payrolls[[#This Row],[Injured]]/mlb_payrolls[[#This Row],[Total Payroll Allocations]])</f>
        <v>0</v>
      </c>
      <c r="T340" s="3">
        <f>IF(mlb_payrolls[[#This Row],[Total Payroll Allocations]]&gt;0,mlb_payrolls[[#This Row],[Retained]]/mlb_payrolls[[#This Row],[Total Payroll Allocations]])</f>
        <v>4.1734204174202594E-2</v>
      </c>
      <c r="U340" s="3">
        <f>IF(mlb_payrolls[[#This Row],[Total Payroll Allocations]]&gt;0,mlb_payrolls[[#This Row],[Buried]]/mlb_payrolls[[#This Row],[Total Payroll Allocations]])</f>
        <v>1.8962367638597842E-2</v>
      </c>
      <c r="V340">
        <f>IF(mlb_payrolls[[#This Row],[Postseason]]="No Playoffs",0,1)</f>
        <v>0</v>
      </c>
    </row>
    <row r="341" spans="1:22" x14ac:dyDescent="0.3">
      <c r="A341" t="s">
        <v>59</v>
      </c>
      <c r="B341" t="s">
        <v>60</v>
      </c>
      <c r="C341">
        <v>2016</v>
      </c>
      <c r="D341">
        <v>27.7</v>
      </c>
      <c r="E341" s="1">
        <v>174290373</v>
      </c>
      <c r="F341" s="1">
        <v>89811509</v>
      </c>
      <c r="G341" s="1">
        <v>39667205</v>
      </c>
      <c r="H341" s="1">
        <v>42327190</v>
      </c>
      <c r="I341" s="1">
        <v>2484469</v>
      </c>
      <c r="J341">
        <v>74</v>
      </c>
      <c r="K341">
        <v>88</v>
      </c>
      <c r="L341" t="s">
        <v>14</v>
      </c>
      <c r="M341">
        <f>mlb_payrolls[[#This Row],[Wins]] + mlb_payrolls[[#This Row],[Losses]]</f>
        <v>162</v>
      </c>
      <c r="N341" s="2">
        <f>IF(mlb_payrolls[[#This Row],[Games]] &gt;0, mlb_payrolls[[#This Row],[Wins]]/mlb_payrolls[[#This Row],[Games]], "")</f>
        <v>0.4567901234567901</v>
      </c>
      <c r="O341" s="1">
        <f>IFERROR(VALUE(mlb_payrolls[[#This Row],[Total Payroll Allocations]])/VALUE(mlb_payrolls[[#This Row],[Wins]]),"")</f>
        <v>2355275.3108108109</v>
      </c>
      <c r="P341" s="1">
        <f>SUM(mlb_payrolls[[#This Row],[Active 26-Man]],mlb_payrolls[[#This Row],[Injured]],mlb_payrolls[[#This Row],[Retained]],mlb_payrolls[[#This Row],[Buried]])</f>
        <v>174290373</v>
      </c>
      <c r="Q341" s="1">
        <f>mlb_payrolls[[#This Row],[Total Payroll Allocations]]-mlb_payrolls[[#This Row],[Payroll Parts Sum]]</f>
        <v>0</v>
      </c>
      <c r="R341" s="2">
        <f>IF(mlb_payrolls[[#This Row],[Total Payroll Allocations]]&gt;0, mlb_payrolls[[#This Row],[Active 26-Man]]/mlb_payrolls[[#This Row],[Total Payroll Allocations]],"")</f>
        <v>0.51529816279640417</v>
      </c>
      <c r="S341" s="2">
        <f>IF(mlb_payrolls[[#This Row],[Total Payroll Allocations]]&gt;0,mlb_payrolls[[#This Row],[Injured]]/mlb_payrolls[[#This Row],[Total Payroll Allocations]])</f>
        <v>0.22759263358739842</v>
      </c>
      <c r="T341" s="3">
        <f>IF(mlb_payrolls[[#This Row],[Total Payroll Allocations]]&gt;0,mlb_payrolls[[#This Row],[Retained]]/mlb_payrolls[[#This Row],[Total Payroll Allocations]])</f>
        <v>0.24285443465084558</v>
      </c>
      <c r="U341" s="3">
        <f>IF(mlb_payrolls[[#This Row],[Total Payroll Allocations]]&gt;0,mlb_payrolls[[#This Row],[Buried]]/mlb_payrolls[[#This Row],[Total Payroll Allocations]])</f>
        <v>1.4254768965351862E-2</v>
      </c>
      <c r="V341">
        <f>IF(mlb_payrolls[[#This Row],[Postseason]]="No Playoffs",0,1)</f>
        <v>0</v>
      </c>
    </row>
    <row r="342" spans="1:22" x14ac:dyDescent="0.3">
      <c r="A342" t="s">
        <v>55</v>
      </c>
      <c r="B342" t="s">
        <v>56</v>
      </c>
      <c r="C342">
        <v>2014</v>
      </c>
      <c r="D342">
        <v>29.1</v>
      </c>
      <c r="E342" s="1">
        <v>175061605</v>
      </c>
      <c r="F342" s="1">
        <v>145123014</v>
      </c>
      <c r="G342" s="1">
        <v>25000000</v>
      </c>
      <c r="H342" s="1">
        <v>4263731</v>
      </c>
      <c r="I342" s="1">
        <v>674860</v>
      </c>
      <c r="J342">
        <v>73</v>
      </c>
      <c r="K342">
        <v>89</v>
      </c>
      <c r="L342" t="s">
        <v>14</v>
      </c>
      <c r="M342">
        <f>mlb_payrolls[[#This Row],[Wins]] + mlb_payrolls[[#This Row],[Losses]]</f>
        <v>162</v>
      </c>
      <c r="N342" s="2">
        <f>IF(mlb_payrolls[[#This Row],[Games]] &gt;0, mlb_payrolls[[#This Row],[Wins]]/mlb_payrolls[[#This Row],[Games]], "")</f>
        <v>0.45061728395061729</v>
      </c>
      <c r="O342" s="1">
        <f>IFERROR(VALUE(mlb_payrolls[[#This Row],[Total Payroll Allocations]])/VALUE(mlb_payrolls[[#This Row],[Wins]]),"")</f>
        <v>2398104.1780821919</v>
      </c>
      <c r="P342" s="1">
        <f>SUM(mlb_payrolls[[#This Row],[Active 26-Man]],mlb_payrolls[[#This Row],[Injured]],mlb_payrolls[[#This Row],[Retained]],mlb_payrolls[[#This Row],[Buried]])</f>
        <v>175061605</v>
      </c>
      <c r="Q342" s="1">
        <f>mlb_payrolls[[#This Row],[Total Payroll Allocations]]-mlb_payrolls[[#This Row],[Payroll Parts Sum]]</f>
        <v>0</v>
      </c>
      <c r="R342" s="2">
        <f>IF(mlb_payrolls[[#This Row],[Total Payroll Allocations]]&gt;0, mlb_payrolls[[#This Row],[Active 26-Man]]/mlb_payrolls[[#This Row],[Total Payroll Allocations]],"")</f>
        <v>0.82898254017492867</v>
      </c>
      <c r="S342" s="2">
        <f>IF(mlb_payrolls[[#This Row],[Total Payroll Allocations]]&gt;0,mlb_payrolls[[#This Row],[Injured]]/mlb_payrolls[[#This Row],[Total Payroll Allocations]])</f>
        <v>0.14280687075843959</v>
      </c>
      <c r="T342" s="3">
        <f>IF(mlb_payrolls[[#This Row],[Total Payroll Allocations]]&gt;0,mlb_payrolls[[#This Row],[Retained]]/mlb_payrolls[[#This Row],[Total Payroll Allocations]])</f>
        <v>2.4355603274630093E-2</v>
      </c>
      <c r="U342" s="3">
        <f>IF(mlb_payrolls[[#This Row],[Total Payroll Allocations]]&gt;0,mlb_payrolls[[#This Row],[Buried]]/mlb_payrolls[[#This Row],[Total Payroll Allocations]])</f>
        <v>3.8549857920016214E-3</v>
      </c>
      <c r="V342">
        <f>IF(mlb_payrolls[[#This Row],[Postseason]]="No Playoffs",0,1)</f>
        <v>0</v>
      </c>
    </row>
    <row r="343" spans="1:22" x14ac:dyDescent="0.3">
      <c r="A343" t="s">
        <v>67</v>
      </c>
      <c r="B343" t="s">
        <v>68</v>
      </c>
      <c r="C343">
        <v>2017</v>
      </c>
      <c r="D343">
        <v>28.9</v>
      </c>
      <c r="E343" s="1">
        <v>175617487</v>
      </c>
      <c r="F343" s="1">
        <v>127315534</v>
      </c>
      <c r="G343" s="1">
        <v>22811106</v>
      </c>
      <c r="H343" s="1">
        <v>21914802</v>
      </c>
      <c r="I343" s="1">
        <v>3576045</v>
      </c>
      <c r="J343">
        <v>76</v>
      </c>
      <c r="K343">
        <v>86</v>
      </c>
      <c r="L343" t="s">
        <v>14</v>
      </c>
      <c r="M343">
        <f>mlb_payrolls[[#This Row],[Wins]] + mlb_payrolls[[#This Row],[Losses]]</f>
        <v>162</v>
      </c>
      <c r="N343" s="2">
        <f>IF(mlb_payrolls[[#This Row],[Games]] &gt;0, mlb_payrolls[[#This Row],[Wins]]/mlb_payrolls[[#This Row],[Games]], "")</f>
        <v>0.46913580246913578</v>
      </c>
      <c r="O343" s="1">
        <f>IFERROR(VALUE(mlb_payrolls[[#This Row],[Total Payroll Allocations]])/VALUE(mlb_payrolls[[#This Row],[Wins]]),"")</f>
        <v>2310756.4078947366</v>
      </c>
      <c r="P343" s="1">
        <f>SUM(mlb_payrolls[[#This Row],[Active 26-Man]],mlb_payrolls[[#This Row],[Injured]],mlb_payrolls[[#This Row],[Retained]],mlb_payrolls[[#This Row],[Buried]])</f>
        <v>175617487</v>
      </c>
      <c r="Q343" s="1">
        <f>mlb_payrolls[[#This Row],[Total Payroll Allocations]]-mlb_payrolls[[#This Row],[Payroll Parts Sum]]</f>
        <v>0</v>
      </c>
      <c r="R343" s="2">
        <f>IF(mlb_payrolls[[#This Row],[Total Payroll Allocations]]&gt;0, mlb_payrolls[[#This Row],[Active 26-Man]]/mlb_payrolls[[#This Row],[Total Payroll Allocations]],"")</f>
        <v>0.72495932025265797</v>
      </c>
      <c r="S343" s="2">
        <f>IF(mlb_payrolls[[#This Row],[Total Payroll Allocations]]&gt;0,mlb_payrolls[[#This Row],[Injured]]/mlb_payrolls[[#This Row],[Total Payroll Allocations]])</f>
        <v>0.12989085762285166</v>
      </c>
      <c r="T343" s="3">
        <f>IF(mlb_payrolls[[#This Row],[Total Payroll Allocations]]&gt;0,mlb_payrolls[[#This Row],[Retained]]/mlb_payrolls[[#This Row],[Total Payroll Allocations]])</f>
        <v>0.12478712897195711</v>
      </c>
      <c r="U343" s="3">
        <f>IF(mlb_payrolls[[#This Row],[Total Payroll Allocations]]&gt;0,mlb_payrolls[[#This Row],[Buried]]/mlb_payrolls[[#This Row],[Total Payroll Allocations]])</f>
        <v>2.0362693152533268E-2</v>
      </c>
      <c r="V343">
        <f>IF(mlb_payrolls[[#This Row],[Postseason]]="No Playoffs",0,1)</f>
        <v>0</v>
      </c>
    </row>
    <row r="344" spans="1:22" x14ac:dyDescent="0.3">
      <c r="A344" t="s">
        <v>45</v>
      </c>
      <c r="B344" t="s">
        <v>46</v>
      </c>
      <c r="C344">
        <v>2024</v>
      </c>
      <c r="D344">
        <v>28</v>
      </c>
      <c r="E344" s="1">
        <v>175932759</v>
      </c>
      <c r="F344" s="1">
        <v>112213666</v>
      </c>
      <c r="G344" s="1">
        <v>44602200</v>
      </c>
      <c r="H344" s="1">
        <v>18024055</v>
      </c>
      <c r="I344" s="1">
        <v>1092838</v>
      </c>
      <c r="J344">
        <v>83</v>
      </c>
      <c r="K344">
        <v>79</v>
      </c>
      <c r="L344" t="s">
        <v>14</v>
      </c>
      <c r="M344">
        <f>mlb_payrolls[[#This Row],[Wins]] + mlb_payrolls[[#This Row],[Losses]]</f>
        <v>162</v>
      </c>
      <c r="N344" s="2">
        <f>IF(mlb_payrolls[[#This Row],[Games]] &gt;0, mlb_payrolls[[#This Row],[Wins]]/mlb_payrolls[[#This Row],[Games]], "")</f>
        <v>0.51234567901234573</v>
      </c>
      <c r="O344" s="1">
        <f>IFERROR(VALUE(mlb_payrolls[[#This Row],[Total Payroll Allocations]])/VALUE(mlb_payrolls[[#This Row],[Wins]]),"")</f>
        <v>2119671.7951807231</v>
      </c>
      <c r="P344" s="1">
        <f>SUM(mlb_payrolls[[#This Row],[Active 26-Man]],mlb_payrolls[[#This Row],[Injured]],mlb_payrolls[[#This Row],[Retained]],mlb_payrolls[[#This Row],[Buried]])</f>
        <v>175932759</v>
      </c>
      <c r="Q344" s="1">
        <f>mlb_payrolls[[#This Row],[Total Payroll Allocations]]-mlb_payrolls[[#This Row],[Payroll Parts Sum]]</f>
        <v>0</v>
      </c>
      <c r="R344" s="2">
        <f>IF(mlb_payrolls[[#This Row],[Total Payroll Allocations]]&gt;0, mlb_payrolls[[#This Row],[Active 26-Man]]/mlb_payrolls[[#This Row],[Total Payroll Allocations]],"")</f>
        <v>0.63782132809046665</v>
      </c>
      <c r="S344" s="2">
        <f>IF(mlb_payrolls[[#This Row],[Total Payroll Allocations]]&gt;0,mlb_payrolls[[#This Row],[Injured]]/mlb_payrolls[[#This Row],[Total Payroll Allocations]])</f>
        <v>0.25351844792020795</v>
      </c>
      <c r="T344" s="3">
        <f>IF(mlb_payrolls[[#This Row],[Total Payroll Allocations]]&gt;0,mlb_payrolls[[#This Row],[Retained]]/mlb_payrolls[[#This Row],[Total Payroll Allocations]])</f>
        <v>0.10244854399174175</v>
      </c>
      <c r="U344" s="3">
        <f>IF(mlb_payrolls[[#This Row],[Total Payroll Allocations]]&gt;0,mlb_payrolls[[#This Row],[Buried]]/mlb_payrolls[[#This Row],[Total Payroll Allocations]])</f>
        <v>6.2116799975836219E-3</v>
      </c>
      <c r="V344">
        <f>IF(mlb_payrolls[[#This Row],[Postseason]]="No Playoffs",0,1)</f>
        <v>0</v>
      </c>
    </row>
    <row r="345" spans="1:22" x14ac:dyDescent="0.3">
      <c r="A345" t="s">
        <v>67</v>
      </c>
      <c r="B345" t="s">
        <v>68</v>
      </c>
      <c r="C345">
        <v>2022</v>
      </c>
      <c r="D345">
        <v>28.5</v>
      </c>
      <c r="E345" s="1">
        <v>177001966</v>
      </c>
      <c r="F345" s="1">
        <v>141662800</v>
      </c>
      <c r="G345" s="1">
        <v>25698159</v>
      </c>
      <c r="H345" s="1">
        <v>7955708</v>
      </c>
      <c r="I345" s="1">
        <v>1685299</v>
      </c>
      <c r="J345">
        <v>92</v>
      </c>
      <c r="K345">
        <v>70</v>
      </c>
      <c r="L345" t="s">
        <v>21</v>
      </c>
      <c r="M345">
        <f>mlb_payrolls[[#This Row],[Wins]] + mlb_payrolls[[#This Row],[Losses]]</f>
        <v>162</v>
      </c>
      <c r="N345" s="2">
        <f>IF(mlb_payrolls[[#This Row],[Games]] &gt;0, mlb_payrolls[[#This Row],[Wins]]/mlb_payrolls[[#This Row],[Games]], "")</f>
        <v>0.5679012345679012</v>
      </c>
      <c r="O345" s="1">
        <f>IFERROR(VALUE(mlb_payrolls[[#This Row],[Total Payroll Allocations]])/VALUE(mlb_payrolls[[#This Row],[Wins]]),"")</f>
        <v>1923934.4130434783</v>
      </c>
      <c r="P345" s="1">
        <f>SUM(mlb_payrolls[[#This Row],[Active 26-Man]],mlb_payrolls[[#This Row],[Injured]],mlb_payrolls[[#This Row],[Retained]],mlb_payrolls[[#This Row],[Buried]])</f>
        <v>177001966</v>
      </c>
      <c r="Q345" s="1">
        <f>mlb_payrolls[[#This Row],[Total Payroll Allocations]]-mlb_payrolls[[#This Row],[Payroll Parts Sum]]</f>
        <v>0</v>
      </c>
      <c r="R345" s="2">
        <f>IF(mlb_payrolls[[#This Row],[Total Payroll Allocations]]&gt;0, mlb_payrolls[[#This Row],[Active 26-Man]]/mlb_payrolls[[#This Row],[Total Payroll Allocations]],"")</f>
        <v>0.80034591254201093</v>
      </c>
      <c r="S345" s="2">
        <f>IF(mlb_payrolls[[#This Row],[Total Payroll Allocations]]&gt;0,mlb_payrolls[[#This Row],[Injured]]/mlb_payrolls[[#This Row],[Total Payroll Allocations]])</f>
        <v>0.14518572635515245</v>
      </c>
      <c r="T345" s="3">
        <f>IF(mlb_payrolls[[#This Row],[Total Payroll Allocations]]&gt;0,mlb_payrolls[[#This Row],[Retained]]/mlb_payrolls[[#This Row],[Total Payroll Allocations]])</f>
        <v>4.4947003582999752E-2</v>
      </c>
      <c r="U345" s="3">
        <f>IF(mlb_payrolls[[#This Row],[Total Payroll Allocations]]&gt;0,mlb_payrolls[[#This Row],[Buried]]/mlb_payrolls[[#This Row],[Total Payroll Allocations]])</f>
        <v>9.5213575198368136E-3</v>
      </c>
      <c r="V345">
        <f>IF(mlb_payrolls[[#This Row],[Postseason]]="No Playoffs",0,1)</f>
        <v>1</v>
      </c>
    </row>
    <row r="346" spans="1:22" x14ac:dyDescent="0.3">
      <c r="A346" t="s">
        <v>57</v>
      </c>
      <c r="B346" t="s">
        <v>58</v>
      </c>
      <c r="C346">
        <v>2022</v>
      </c>
      <c r="D346">
        <v>29</v>
      </c>
      <c r="E346" s="1">
        <v>177138888</v>
      </c>
      <c r="F346" s="1">
        <v>143633732</v>
      </c>
      <c r="G346" s="1">
        <v>20918726</v>
      </c>
      <c r="H346" s="1">
        <v>10710954</v>
      </c>
      <c r="I346" s="1">
        <v>1875476</v>
      </c>
      <c r="J346">
        <v>101</v>
      </c>
      <c r="K346">
        <v>61</v>
      </c>
      <c r="L346" t="s">
        <v>24</v>
      </c>
      <c r="M346">
        <f>mlb_payrolls[[#This Row],[Wins]] + mlb_payrolls[[#This Row],[Losses]]</f>
        <v>162</v>
      </c>
      <c r="N346" s="2">
        <f>IF(mlb_payrolls[[#This Row],[Games]] &gt;0, mlb_payrolls[[#This Row],[Wins]]/mlb_payrolls[[#This Row],[Games]], "")</f>
        <v>0.62345679012345678</v>
      </c>
      <c r="O346" s="1">
        <f>IFERROR(VALUE(mlb_payrolls[[#This Row],[Total Payroll Allocations]])/VALUE(mlb_payrolls[[#This Row],[Wins]]),"")</f>
        <v>1753850.3762376239</v>
      </c>
      <c r="P346" s="1">
        <f>SUM(mlb_payrolls[[#This Row],[Active 26-Man]],mlb_payrolls[[#This Row],[Injured]],mlb_payrolls[[#This Row],[Retained]],mlb_payrolls[[#This Row],[Buried]])</f>
        <v>177138888</v>
      </c>
      <c r="Q346" s="1">
        <f>mlb_payrolls[[#This Row],[Total Payroll Allocations]]-mlb_payrolls[[#This Row],[Payroll Parts Sum]]</f>
        <v>0</v>
      </c>
      <c r="R346" s="2">
        <f>IF(mlb_payrolls[[#This Row],[Total Payroll Allocations]]&gt;0, mlb_payrolls[[#This Row],[Active 26-Man]]/mlb_payrolls[[#This Row],[Total Payroll Allocations]],"")</f>
        <v>0.81085375222633216</v>
      </c>
      <c r="S346" s="2">
        <f>IF(mlb_payrolls[[#This Row],[Total Payroll Allocations]]&gt;0,mlb_payrolls[[#This Row],[Injured]]/mlb_payrolls[[#This Row],[Total Payroll Allocations]])</f>
        <v>0.11809222828586347</v>
      </c>
      <c r="T346" s="3">
        <f>IF(mlb_payrolls[[#This Row],[Total Payroll Allocations]]&gt;0,mlb_payrolls[[#This Row],[Retained]]/mlb_payrolls[[#This Row],[Total Payroll Allocations]])</f>
        <v>6.0466417741089129E-2</v>
      </c>
      <c r="U346" s="3">
        <f>IF(mlb_payrolls[[#This Row],[Total Payroll Allocations]]&gt;0,mlb_payrolls[[#This Row],[Buried]]/mlb_payrolls[[#This Row],[Total Payroll Allocations]])</f>
        <v>1.0587601746715266E-2</v>
      </c>
      <c r="V346">
        <f>IF(mlb_payrolls[[#This Row],[Postseason]]="No Playoffs",0,1)</f>
        <v>1</v>
      </c>
    </row>
    <row r="347" spans="1:22" x14ac:dyDescent="0.3">
      <c r="A347" t="s">
        <v>59</v>
      </c>
      <c r="B347" t="s">
        <v>60</v>
      </c>
      <c r="C347">
        <v>2022</v>
      </c>
      <c r="D347">
        <v>27.7</v>
      </c>
      <c r="E347" s="1">
        <v>177727811</v>
      </c>
      <c r="F347" s="1">
        <v>118104253</v>
      </c>
      <c r="G347" s="1">
        <v>6978028</v>
      </c>
      <c r="H347" s="1">
        <v>49768044</v>
      </c>
      <c r="I347" s="1">
        <v>2877486</v>
      </c>
      <c r="J347">
        <v>73</v>
      </c>
      <c r="K347">
        <v>89</v>
      </c>
      <c r="L347" t="s">
        <v>14</v>
      </c>
      <c r="M347">
        <f>mlb_payrolls[[#This Row],[Wins]] + mlb_payrolls[[#This Row],[Losses]]</f>
        <v>162</v>
      </c>
      <c r="N347" s="2">
        <f>IF(mlb_payrolls[[#This Row],[Games]] &gt;0, mlb_payrolls[[#This Row],[Wins]]/mlb_payrolls[[#This Row],[Games]], "")</f>
        <v>0.45061728395061729</v>
      </c>
      <c r="O347" s="1">
        <f>IFERROR(VALUE(mlb_payrolls[[#This Row],[Total Payroll Allocations]])/VALUE(mlb_payrolls[[#This Row],[Wins]]),"")</f>
        <v>2434627.5479452056</v>
      </c>
      <c r="P347" s="1">
        <f>SUM(mlb_payrolls[[#This Row],[Active 26-Man]],mlb_payrolls[[#This Row],[Injured]],mlb_payrolls[[#This Row],[Retained]],mlb_payrolls[[#This Row],[Buried]])</f>
        <v>177727811</v>
      </c>
      <c r="Q347" s="1">
        <f>mlb_payrolls[[#This Row],[Total Payroll Allocations]]-mlb_payrolls[[#This Row],[Payroll Parts Sum]]</f>
        <v>0</v>
      </c>
      <c r="R347" s="2">
        <f>IF(mlb_payrolls[[#This Row],[Total Payroll Allocations]]&gt;0, mlb_payrolls[[#This Row],[Active 26-Man]]/mlb_payrolls[[#This Row],[Total Payroll Allocations]],"")</f>
        <v>0.66452319609112831</v>
      </c>
      <c r="S347" s="2">
        <f>IF(mlb_payrolls[[#This Row],[Total Payroll Allocations]]&gt;0,mlb_payrolls[[#This Row],[Injured]]/mlb_payrolls[[#This Row],[Total Payroll Allocations]])</f>
        <v>3.9262442724847378E-2</v>
      </c>
      <c r="T347" s="3">
        <f>IF(mlb_payrolls[[#This Row],[Total Payroll Allocations]]&gt;0,mlb_payrolls[[#This Row],[Retained]]/mlb_payrolls[[#This Row],[Total Payroll Allocations]])</f>
        <v>0.2800239519069978</v>
      </c>
      <c r="U347" s="3">
        <f>IF(mlb_payrolls[[#This Row],[Total Payroll Allocations]]&gt;0,mlb_payrolls[[#This Row],[Buried]]/mlb_payrolls[[#This Row],[Total Payroll Allocations]])</f>
        <v>1.6190409277026429E-2</v>
      </c>
      <c r="V347">
        <f>IF(mlb_payrolls[[#This Row],[Postseason]]="No Playoffs",0,1)</f>
        <v>0</v>
      </c>
    </row>
    <row r="348" spans="1:22" x14ac:dyDescent="0.3">
      <c r="A348" t="s">
        <v>55</v>
      </c>
      <c r="B348" t="s">
        <v>56</v>
      </c>
      <c r="C348">
        <v>2012</v>
      </c>
      <c r="D348">
        <v>29.5</v>
      </c>
      <c r="E348" s="1">
        <v>177862491</v>
      </c>
      <c r="F348" s="1">
        <v>167544458</v>
      </c>
      <c r="G348" s="1">
        <v>0</v>
      </c>
      <c r="H348" s="1">
        <v>10318033</v>
      </c>
      <c r="I348" s="1">
        <v>0</v>
      </c>
      <c r="J348">
        <v>81</v>
      </c>
      <c r="K348">
        <v>81</v>
      </c>
      <c r="L348" t="s">
        <v>14</v>
      </c>
      <c r="M348">
        <f>mlb_payrolls[[#This Row],[Wins]] + mlb_payrolls[[#This Row],[Losses]]</f>
        <v>162</v>
      </c>
      <c r="N348" s="2">
        <f>IF(mlb_payrolls[[#This Row],[Games]] &gt;0, mlb_payrolls[[#This Row],[Wins]]/mlb_payrolls[[#This Row],[Games]], "")</f>
        <v>0.5</v>
      </c>
      <c r="O348" s="1">
        <f>IFERROR(VALUE(mlb_payrolls[[#This Row],[Total Payroll Allocations]])/VALUE(mlb_payrolls[[#This Row],[Wins]]),"")</f>
        <v>2195833.222222222</v>
      </c>
      <c r="P348" s="1">
        <f>SUM(mlb_payrolls[[#This Row],[Active 26-Man]],mlb_payrolls[[#This Row],[Injured]],mlb_payrolls[[#This Row],[Retained]],mlb_payrolls[[#This Row],[Buried]])</f>
        <v>177862491</v>
      </c>
      <c r="Q348" s="1">
        <f>mlb_payrolls[[#This Row],[Total Payroll Allocations]]-mlb_payrolls[[#This Row],[Payroll Parts Sum]]</f>
        <v>0</v>
      </c>
      <c r="R348" s="2">
        <f>IF(mlb_payrolls[[#This Row],[Total Payroll Allocations]]&gt;0, mlb_payrolls[[#This Row],[Active 26-Man]]/mlb_payrolls[[#This Row],[Total Payroll Allocations]],"")</f>
        <v>0.94198870744478669</v>
      </c>
      <c r="S348" s="2">
        <f>IF(mlb_payrolls[[#This Row],[Total Payroll Allocations]]&gt;0,mlb_payrolls[[#This Row],[Injured]]/mlb_payrolls[[#This Row],[Total Payroll Allocations]])</f>
        <v>0</v>
      </c>
      <c r="T348" s="3">
        <f>IF(mlb_payrolls[[#This Row],[Total Payroll Allocations]]&gt;0,mlb_payrolls[[#This Row],[Retained]]/mlb_payrolls[[#This Row],[Total Payroll Allocations]])</f>
        <v>5.801129255521334E-2</v>
      </c>
      <c r="U348" s="3">
        <f>IF(mlb_payrolls[[#This Row],[Total Payroll Allocations]]&gt;0,mlb_payrolls[[#This Row],[Buried]]/mlb_payrolls[[#This Row],[Total Payroll Allocations]])</f>
        <v>0</v>
      </c>
      <c r="V348">
        <f>IF(mlb_payrolls[[#This Row],[Postseason]]="No Playoffs",0,1)</f>
        <v>0</v>
      </c>
    </row>
    <row r="349" spans="1:22" x14ac:dyDescent="0.3">
      <c r="A349" t="s">
        <v>53</v>
      </c>
      <c r="B349" t="s">
        <v>54</v>
      </c>
      <c r="C349">
        <v>2019</v>
      </c>
      <c r="D349">
        <v>27.8</v>
      </c>
      <c r="E349" s="1">
        <v>178054110</v>
      </c>
      <c r="F349" s="1">
        <v>137019224</v>
      </c>
      <c r="G349" s="1">
        <v>9768564</v>
      </c>
      <c r="H349" s="1">
        <v>31241902</v>
      </c>
      <c r="I349" s="1">
        <v>24420</v>
      </c>
      <c r="J349">
        <v>77</v>
      </c>
      <c r="K349">
        <v>85</v>
      </c>
      <c r="L349" t="s">
        <v>14</v>
      </c>
      <c r="M349">
        <f>mlb_payrolls[[#This Row],[Wins]] + mlb_payrolls[[#This Row],[Losses]]</f>
        <v>162</v>
      </c>
      <c r="N349" s="2">
        <f>IF(mlb_payrolls[[#This Row],[Games]] &gt;0, mlb_payrolls[[#This Row],[Wins]]/mlb_payrolls[[#This Row],[Games]], "")</f>
        <v>0.47530864197530864</v>
      </c>
      <c r="O349" s="1">
        <f>IFERROR(VALUE(mlb_payrolls[[#This Row],[Total Payroll Allocations]])/VALUE(mlb_payrolls[[#This Row],[Wins]]),"")</f>
        <v>2312391.0389610389</v>
      </c>
      <c r="P349" s="1">
        <f>SUM(mlb_payrolls[[#This Row],[Active 26-Man]],mlb_payrolls[[#This Row],[Injured]],mlb_payrolls[[#This Row],[Retained]],mlb_payrolls[[#This Row],[Buried]])</f>
        <v>178054110</v>
      </c>
      <c r="Q349" s="1">
        <f>mlb_payrolls[[#This Row],[Total Payroll Allocations]]-mlb_payrolls[[#This Row],[Payroll Parts Sum]]</f>
        <v>0</v>
      </c>
      <c r="R349" s="2">
        <f>IF(mlb_payrolls[[#This Row],[Total Payroll Allocations]]&gt;0, mlb_payrolls[[#This Row],[Active 26-Man]]/mlb_payrolls[[#This Row],[Total Payroll Allocations]],"")</f>
        <v>0.76953699074960979</v>
      </c>
      <c r="S349" s="2">
        <f>IF(mlb_payrolls[[#This Row],[Total Payroll Allocations]]&gt;0,mlb_payrolls[[#This Row],[Injured]]/mlb_payrolls[[#This Row],[Total Payroll Allocations]])</f>
        <v>5.4862895329964585E-2</v>
      </c>
      <c r="T349" s="3">
        <f>IF(mlb_payrolls[[#This Row],[Total Payroll Allocations]]&gt;0,mlb_payrolls[[#This Row],[Retained]]/mlb_payrolls[[#This Row],[Total Payroll Allocations]])</f>
        <v>0.17546296460104177</v>
      </c>
      <c r="U349" s="3">
        <f>IF(mlb_payrolls[[#This Row],[Total Payroll Allocations]]&gt;0,mlb_payrolls[[#This Row],[Buried]]/mlb_payrolls[[#This Row],[Total Payroll Allocations]])</f>
        <v>1.3714931938386594E-4</v>
      </c>
      <c r="V349">
        <f>IF(mlb_payrolls[[#This Row],[Postseason]]="No Playoffs",0,1)</f>
        <v>0</v>
      </c>
    </row>
    <row r="350" spans="1:22" x14ac:dyDescent="0.3">
      <c r="A350" t="s">
        <v>53</v>
      </c>
      <c r="B350" t="s">
        <v>54</v>
      </c>
      <c r="C350">
        <v>2016</v>
      </c>
      <c r="D350">
        <v>29.2</v>
      </c>
      <c r="E350" s="1">
        <v>178834344</v>
      </c>
      <c r="F350" s="1">
        <v>176684532</v>
      </c>
      <c r="G350" s="1">
        <v>487120</v>
      </c>
      <c r="H350" s="1">
        <v>1082965</v>
      </c>
      <c r="I350" s="1">
        <v>579729</v>
      </c>
      <c r="J350">
        <v>87</v>
      </c>
      <c r="K350">
        <v>75</v>
      </c>
      <c r="L350" t="s">
        <v>21</v>
      </c>
      <c r="M350">
        <f>mlb_payrolls[[#This Row],[Wins]] + mlb_payrolls[[#This Row],[Losses]]</f>
        <v>162</v>
      </c>
      <c r="N350" s="2">
        <f>IF(mlb_payrolls[[#This Row],[Games]] &gt;0, mlb_payrolls[[#This Row],[Wins]]/mlb_payrolls[[#This Row],[Games]], "")</f>
        <v>0.53703703703703709</v>
      </c>
      <c r="O350" s="1">
        <f>IFERROR(VALUE(mlb_payrolls[[#This Row],[Total Payroll Allocations]])/VALUE(mlb_payrolls[[#This Row],[Wins]]),"")</f>
        <v>2055567.1724137932</v>
      </c>
      <c r="P350" s="1">
        <f>SUM(mlb_payrolls[[#This Row],[Active 26-Man]],mlb_payrolls[[#This Row],[Injured]],mlb_payrolls[[#This Row],[Retained]],mlb_payrolls[[#This Row],[Buried]])</f>
        <v>178834346</v>
      </c>
      <c r="Q350" s="1">
        <f>mlb_payrolls[[#This Row],[Total Payroll Allocations]]-mlb_payrolls[[#This Row],[Payroll Parts Sum]]</f>
        <v>-2</v>
      </c>
      <c r="R350" s="2">
        <f>IF(mlb_payrolls[[#This Row],[Total Payroll Allocations]]&gt;0, mlb_payrolls[[#This Row],[Active 26-Man]]/mlb_payrolls[[#This Row],[Total Payroll Allocations]],"")</f>
        <v>0.98797875200079022</v>
      </c>
      <c r="S350" s="2">
        <f>IF(mlb_payrolls[[#This Row],[Total Payroll Allocations]]&gt;0,mlb_payrolls[[#This Row],[Injured]]/mlb_payrolls[[#This Row],[Total Payroll Allocations]])</f>
        <v>2.7238615866759909E-3</v>
      </c>
      <c r="T350" s="3">
        <f>IF(mlb_payrolls[[#This Row],[Total Payroll Allocations]]&gt;0,mlb_payrolls[[#This Row],[Retained]]/mlb_payrolls[[#This Row],[Total Payroll Allocations]])</f>
        <v>6.0556880506129184E-3</v>
      </c>
      <c r="U350" s="3">
        <f>IF(mlb_payrolls[[#This Row],[Total Payroll Allocations]]&gt;0,mlb_payrolls[[#This Row],[Buried]]/mlb_payrolls[[#This Row],[Total Payroll Allocations]])</f>
        <v>3.2417095454550945E-3</v>
      </c>
      <c r="V350">
        <f>IF(mlb_payrolls[[#This Row],[Postseason]]="No Playoffs",0,1)</f>
        <v>1</v>
      </c>
    </row>
    <row r="351" spans="1:22" x14ac:dyDescent="0.3">
      <c r="A351" t="s">
        <v>41</v>
      </c>
      <c r="B351" t="s">
        <v>42</v>
      </c>
      <c r="C351">
        <v>2021</v>
      </c>
      <c r="D351">
        <v>29.1</v>
      </c>
      <c r="E351" s="1">
        <v>179767346</v>
      </c>
      <c r="F351" s="1">
        <v>125977584</v>
      </c>
      <c r="G351" s="1">
        <v>49745500</v>
      </c>
      <c r="H351" s="1">
        <v>2549590</v>
      </c>
      <c r="I351" s="1">
        <v>1494672</v>
      </c>
      <c r="J351">
        <v>79</v>
      </c>
      <c r="K351">
        <v>83</v>
      </c>
      <c r="L351" t="s">
        <v>14</v>
      </c>
      <c r="M351">
        <f>mlb_payrolls[[#This Row],[Wins]] + mlb_payrolls[[#This Row],[Losses]]</f>
        <v>162</v>
      </c>
      <c r="N351" s="2">
        <f>IF(mlb_payrolls[[#This Row],[Games]] &gt;0, mlb_payrolls[[#This Row],[Wins]]/mlb_payrolls[[#This Row],[Games]], "")</f>
        <v>0.48765432098765432</v>
      </c>
      <c r="O351" s="1">
        <f>IFERROR(VALUE(mlb_payrolls[[#This Row],[Total Payroll Allocations]])/VALUE(mlb_payrolls[[#This Row],[Wins]]),"")</f>
        <v>2275536.0253164559</v>
      </c>
      <c r="P351" s="1">
        <f>SUM(mlb_payrolls[[#This Row],[Active 26-Man]],mlb_payrolls[[#This Row],[Injured]],mlb_payrolls[[#This Row],[Retained]],mlb_payrolls[[#This Row],[Buried]])</f>
        <v>179767346</v>
      </c>
      <c r="Q351" s="1">
        <f>mlb_payrolls[[#This Row],[Total Payroll Allocations]]-mlb_payrolls[[#This Row],[Payroll Parts Sum]]</f>
        <v>0</v>
      </c>
      <c r="R351" s="2">
        <f>IF(mlb_payrolls[[#This Row],[Total Payroll Allocations]]&gt;0, mlb_payrolls[[#This Row],[Active 26-Man]]/mlb_payrolls[[#This Row],[Total Payroll Allocations]],"")</f>
        <v>0.70078124199486147</v>
      </c>
      <c r="S351" s="2">
        <f>IF(mlb_payrolls[[#This Row],[Total Payroll Allocations]]&gt;0,mlb_payrolls[[#This Row],[Injured]]/mlb_payrolls[[#This Row],[Total Payroll Allocations]])</f>
        <v>0.27672155765152145</v>
      </c>
      <c r="T351" s="3">
        <f>IF(mlb_payrolls[[#This Row],[Total Payroll Allocations]]&gt;0,mlb_payrolls[[#This Row],[Retained]]/mlb_payrolls[[#This Row],[Total Payroll Allocations]])</f>
        <v>1.4182720370138856E-2</v>
      </c>
      <c r="U351" s="3">
        <f>IF(mlb_payrolls[[#This Row],[Total Payroll Allocations]]&gt;0,mlb_payrolls[[#This Row],[Buried]]/mlb_payrolls[[#This Row],[Total Payroll Allocations]])</f>
        <v>8.3144799834782013E-3</v>
      </c>
      <c r="V351">
        <f>IF(mlb_payrolls[[#This Row],[Postseason]]="No Playoffs",0,1)</f>
        <v>0</v>
      </c>
    </row>
    <row r="352" spans="1:22" x14ac:dyDescent="0.3">
      <c r="A352" t="s">
        <v>71</v>
      </c>
      <c r="B352" t="s">
        <v>72</v>
      </c>
      <c r="C352">
        <v>2018</v>
      </c>
      <c r="D352">
        <v>27.5</v>
      </c>
      <c r="E352" s="1">
        <v>180098151</v>
      </c>
      <c r="F352" s="1">
        <v>148010829</v>
      </c>
      <c r="G352" s="1">
        <v>22568376</v>
      </c>
      <c r="H352" s="1">
        <v>9249414</v>
      </c>
      <c r="I352" s="1">
        <v>269532</v>
      </c>
      <c r="J352">
        <v>100</v>
      </c>
      <c r="K352">
        <v>62</v>
      </c>
      <c r="L352" t="s">
        <v>21</v>
      </c>
      <c r="M352">
        <f>mlb_payrolls[[#This Row],[Wins]] + mlb_payrolls[[#This Row],[Losses]]</f>
        <v>162</v>
      </c>
      <c r="N352" s="2">
        <f>IF(mlb_payrolls[[#This Row],[Games]] &gt;0, mlb_payrolls[[#This Row],[Wins]]/mlb_payrolls[[#This Row],[Games]], "")</f>
        <v>0.61728395061728392</v>
      </c>
      <c r="O352" s="1">
        <f>IFERROR(VALUE(mlb_payrolls[[#This Row],[Total Payroll Allocations]])/VALUE(mlb_payrolls[[#This Row],[Wins]]),"")</f>
        <v>1800981.51</v>
      </c>
      <c r="P352" s="1">
        <f>SUM(mlb_payrolls[[#This Row],[Active 26-Man]],mlb_payrolls[[#This Row],[Injured]],mlb_payrolls[[#This Row],[Retained]],mlb_payrolls[[#This Row],[Buried]])</f>
        <v>180098151</v>
      </c>
      <c r="Q352" s="1">
        <f>mlb_payrolls[[#This Row],[Total Payroll Allocations]]-mlb_payrolls[[#This Row],[Payroll Parts Sum]]</f>
        <v>0</v>
      </c>
      <c r="R352" s="2">
        <f>IF(mlb_payrolls[[#This Row],[Total Payroll Allocations]]&gt;0, mlb_payrolls[[#This Row],[Active 26-Man]]/mlb_payrolls[[#This Row],[Total Payroll Allocations]],"")</f>
        <v>0.82183425081360217</v>
      </c>
      <c r="S352" s="2">
        <f>IF(mlb_payrolls[[#This Row],[Total Payroll Allocations]]&gt;0,mlb_payrolls[[#This Row],[Injured]]/mlb_payrolls[[#This Row],[Total Payroll Allocations]])</f>
        <v>0.12531153637440731</v>
      </c>
      <c r="T352" s="3">
        <f>IF(mlb_payrolls[[#This Row],[Total Payroll Allocations]]&gt;0,mlb_payrolls[[#This Row],[Retained]]/mlb_payrolls[[#This Row],[Total Payroll Allocations]])</f>
        <v>5.1357628874268674E-2</v>
      </c>
      <c r="U352" s="3">
        <f>IF(mlb_payrolls[[#This Row],[Total Payroll Allocations]]&gt;0,mlb_payrolls[[#This Row],[Buried]]/mlb_payrolls[[#This Row],[Total Payroll Allocations]])</f>
        <v>1.4965839377218259E-3</v>
      </c>
      <c r="V352">
        <f>IF(mlb_payrolls[[#This Row],[Postseason]]="No Playoffs",0,1)</f>
        <v>1</v>
      </c>
    </row>
    <row r="353" spans="1:22" x14ac:dyDescent="0.3">
      <c r="A353" t="s">
        <v>53</v>
      </c>
      <c r="B353" t="s">
        <v>54</v>
      </c>
      <c r="C353">
        <v>2015</v>
      </c>
      <c r="D353">
        <v>29.4</v>
      </c>
      <c r="E353" s="1">
        <v>180163630</v>
      </c>
      <c r="F353" s="1">
        <v>133109385</v>
      </c>
      <c r="G353" s="1">
        <v>38423837</v>
      </c>
      <c r="H353" s="1">
        <v>7522089</v>
      </c>
      <c r="I353" s="1">
        <v>1108319</v>
      </c>
      <c r="J353">
        <v>84</v>
      </c>
      <c r="K353">
        <v>78</v>
      </c>
      <c r="L353" t="s">
        <v>14</v>
      </c>
      <c r="M353">
        <f>mlb_payrolls[[#This Row],[Wins]] + mlb_payrolls[[#This Row],[Losses]]</f>
        <v>162</v>
      </c>
      <c r="N353" s="2">
        <f>IF(mlb_payrolls[[#This Row],[Games]] &gt;0, mlb_payrolls[[#This Row],[Wins]]/mlb_payrolls[[#This Row],[Games]], "")</f>
        <v>0.51851851851851849</v>
      </c>
      <c r="O353" s="1">
        <f>IFERROR(VALUE(mlb_payrolls[[#This Row],[Total Payroll Allocations]])/VALUE(mlb_payrolls[[#This Row],[Wins]]),"")</f>
        <v>2144805.1190476189</v>
      </c>
      <c r="P353" s="1">
        <f>SUM(mlb_payrolls[[#This Row],[Active 26-Man]],mlb_payrolls[[#This Row],[Injured]],mlb_payrolls[[#This Row],[Retained]],mlb_payrolls[[#This Row],[Buried]])</f>
        <v>180163630</v>
      </c>
      <c r="Q353" s="1">
        <f>mlb_payrolls[[#This Row],[Total Payroll Allocations]]-mlb_payrolls[[#This Row],[Payroll Parts Sum]]</f>
        <v>0</v>
      </c>
      <c r="R353" s="2">
        <f>IF(mlb_payrolls[[#This Row],[Total Payroll Allocations]]&gt;0, mlb_payrolls[[#This Row],[Active 26-Man]]/mlb_payrolls[[#This Row],[Total Payroll Allocations]],"")</f>
        <v>0.73882495040758223</v>
      </c>
      <c r="S353" s="2">
        <f>IF(mlb_payrolls[[#This Row],[Total Payroll Allocations]]&gt;0,mlb_payrolls[[#This Row],[Injured]]/mlb_payrolls[[#This Row],[Total Payroll Allocations]])</f>
        <v>0.21327188511909978</v>
      </c>
      <c r="T353" s="3">
        <f>IF(mlb_payrolls[[#This Row],[Total Payroll Allocations]]&gt;0,mlb_payrolls[[#This Row],[Retained]]/mlb_payrolls[[#This Row],[Total Payroll Allocations]])</f>
        <v>4.1751428964880426E-2</v>
      </c>
      <c r="U353" s="3">
        <f>IF(mlb_payrolls[[#This Row],[Total Payroll Allocations]]&gt;0,mlb_payrolls[[#This Row],[Buried]]/mlb_payrolls[[#This Row],[Total Payroll Allocations]])</f>
        <v>6.151735508437524E-3</v>
      </c>
      <c r="V353">
        <f>IF(mlb_payrolls[[#This Row],[Postseason]]="No Playoffs",0,1)</f>
        <v>0</v>
      </c>
    </row>
    <row r="354" spans="1:22" x14ac:dyDescent="0.3">
      <c r="A354" t="s">
        <v>47</v>
      </c>
      <c r="B354" t="s">
        <v>48</v>
      </c>
      <c r="C354">
        <v>2023</v>
      </c>
      <c r="D354">
        <v>28.3</v>
      </c>
      <c r="E354" s="1">
        <v>180926796</v>
      </c>
      <c r="F354" s="1">
        <v>128063857</v>
      </c>
      <c r="G354" s="1">
        <v>28736341</v>
      </c>
      <c r="H354" s="1">
        <v>22444333</v>
      </c>
      <c r="I354" s="1">
        <v>1682265</v>
      </c>
      <c r="J354">
        <v>78</v>
      </c>
      <c r="K354">
        <v>84</v>
      </c>
      <c r="L354" t="s">
        <v>14</v>
      </c>
      <c r="M354">
        <f>mlb_payrolls[[#This Row],[Wins]] + mlb_payrolls[[#This Row],[Losses]]</f>
        <v>162</v>
      </c>
      <c r="N354" s="2">
        <f>IF(mlb_payrolls[[#This Row],[Games]] &gt;0, mlb_payrolls[[#This Row],[Wins]]/mlb_payrolls[[#This Row],[Games]], "")</f>
        <v>0.48148148148148145</v>
      </c>
      <c r="O354" s="1">
        <f>IFERROR(VALUE(mlb_payrolls[[#This Row],[Total Payroll Allocations]])/VALUE(mlb_payrolls[[#This Row],[Wins]]),"")</f>
        <v>2319574.3076923075</v>
      </c>
      <c r="P354" s="1">
        <f>SUM(mlb_payrolls[[#This Row],[Active 26-Man]],mlb_payrolls[[#This Row],[Injured]],mlb_payrolls[[#This Row],[Retained]],mlb_payrolls[[#This Row],[Buried]])</f>
        <v>180926796</v>
      </c>
      <c r="Q354" s="1">
        <f>mlb_payrolls[[#This Row],[Total Payroll Allocations]]-mlb_payrolls[[#This Row],[Payroll Parts Sum]]</f>
        <v>0</v>
      </c>
      <c r="R354" s="2">
        <f>IF(mlb_payrolls[[#This Row],[Total Payroll Allocations]]&gt;0, mlb_payrolls[[#This Row],[Active 26-Man]]/mlb_payrolls[[#This Row],[Total Payroll Allocations]],"")</f>
        <v>0.7078213942394691</v>
      </c>
      <c r="S354" s="2">
        <f>IF(mlb_payrolls[[#This Row],[Total Payroll Allocations]]&gt;0,mlb_payrolls[[#This Row],[Injured]]/mlb_payrolls[[#This Row],[Total Payroll Allocations]])</f>
        <v>0.15882855185254041</v>
      </c>
      <c r="T354" s="3">
        <f>IF(mlb_payrolls[[#This Row],[Total Payroll Allocations]]&gt;0,mlb_payrolls[[#This Row],[Retained]]/mlb_payrolls[[#This Row],[Total Payroll Allocations]])</f>
        <v>0.12405201162131893</v>
      </c>
      <c r="U354" s="3">
        <f>IF(mlb_payrolls[[#This Row],[Total Payroll Allocations]]&gt;0,mlb_payrolls[[#This Row],[Buried]]/mlb_payrolls[[#This Row],[Total Payroll Allocations]])</f>
        <v>9.2980422866715661E-3</v>
      </c>
      <c r="V354">
        <f>IF(mlb_payrolls[[#This Row],[Postseason]]="No Playoffs",0,1)</f>
        <v>0</v>
      </c>
    </row>
    <row r="355" spans="1:22" x14ac:dyDescent="0.3">
      <c r="A355" t="s">
        <v>33</v>
      </c>
      <c r="B355" t="s">
        <v>34</v>
      </c>
      <c r="C355">
        <v>2018</v>
      </c>
      <c r="D355">
        <v>27.6</v>
      </c>
      <c r="E355" s="1">
        <v>181382609</v>
      </c>
      <c r="F355" s="1">
        <v>130197979</v>
      </c>
      <c r="G355" s="1">
        <v>8999485</v>
      </c>
      <c r="H355" s="1">
        <v>41161720</v>
      </c>
      <c r="I355" s="1">
        <v>1023425</v>
      </c>
      <c r="J355">
        <v>82</v>
      </c>
      <c r="K355">
        <v>80</v>
      </c>
      <c r="L355" t="s">
        <v>14</v>
      </c>
      <c r="M355">
        <f>mlb_payrolls[[#This Row],[Wins]] + mlb_payrolls[[#This Row],[Losses]]</f>
        <v>162</v>
      </c>
      <c r="N355" s="2">
        <f>IF(mlb_payrolls[[#This Row],[Games]] &gt;0, mlb_payrolls[[#This Row],[Wins]]/mlb_payrolls[[#This Row],[Games]], "")</f>
        <v>0.50617283950617287</v>
      </c>
      <c r="O355" s="1">
        <f>IFERROR(VALUE(mlb_payrolls[[#This Row],[Total Payroll Allocations]])/VALUE(mlb_payrolls[[#This Row],[Wins]]),"")</f>
        <v>2211983.0365853659</v>
      </c>
      <c r="P355" s="1">
        <f>SUM(mlb_payrolls[[#This Row],[Active 26-Man]],mlb_payrolls[[#This Row],[Injured]],mlb_payrolls[[#This Row],[Retained]],mlb_payrolls[[#This Row],[Buried]])</f>
        <v>181382609</v>
      </c>
      <c r="Q355" s="1">
        <f>mlb_payrolls[[#This Row],[Total Payroll Allocations]]-mlb_payrolls[[#This Row],[Payroll Parts Sum]]</f>
        <v>0</v>
      </c>
      <c r="R355" s="2">
        <f>IF(mlb_payrolls[[#This Row],[Total Payroll Allocations]]&gt;0, mlb_payrolls[[#This Row],[Active 26-Man]]/mlb_payrolls[[#This Row],[Total Payroll Allocations]],"")</f>
        <v>0.71780850279863384</v>
      </c>
      <c r="S355" s="2">
        <f>IF(mlb_payrolls[[#This Row],[Total Payroll Allocations]]&gt;0,mlb_payrolls[[#This Row],[Injured]]/mlb_payrolls[[#This Row],[Total Payroll Allocations]])</f>
        <v>4.9616030167478738E-2</v>
      </c>
      <c r="T355" s="3">
        <f>IF(mlb_payrolls[[#This Row],[Total Payroll Allocations]]&gt;0,mlb_payrolls[[#This Row],[Retained]]/mlb_payrolls[[#This Row],[Total Payroll Allocations]])</f>
        <v>0.22693311242424571</v>
      </c>
      <c r="U355" s="3">
        <f>IF(mlb_payrolls[[#This Row],[Total Payroll Allocations]]&gt;0,mlb_payrolls[[#This Row],[Buried]]/mlb_payrolls[[#This Row],[Total Payroll Allocations]])</f>
        <v>5.6423546096417655E-3</v>
      </c>
      <c r="V355">
        <f>IF(mlb_payrolls[[#This Row],[Postseason]]="No Playoffs",0,1)</f>
        <v>0</v>
      </c>
    </row>
    <row r="356" spans="1:22" x14ac:dyDescent="0.3">
      <c r="A356" t="s">
        <v>33</v>
      </c>
      <c r="B356" t="s">
        <v>34</v>
      </c>
      <c r="C356">
        <v>2017</v>
      </c>
      <c r="D356">
        <v>29.1</v>
      </c>
      <c r="E356" s="1">
        <v>182238854</v>
      </c>
      <c r="F356" s="1">
        <v>164539852</v>
      </c>
      <c r="G356" s="1">
        <v>11351707</v>
      </c>
      <c r="H356" s="1">
        <v>5952690</v>
      </c>
      <c r="I356" s="1">
        <v>394605</v>
      </c>
      <c r="J356">
        <v>97</v>
      </c>
      <c r="K356">
        <v>65</v>
      </c>
      <c r="L356" t="s">
        <v>24</v>
      </c>
      <c r="M356">
        <f>mlb_payrolls[[#This Row],[Wins]] + mlb_payrolls[[#This Row],[Losses]]</f>
        <v>162</v>
      </c>
      <c r="N356" s="2">
        <f>IF(mlb_payrolls[[#This Row],[Games]] &gt;0, mlb_payrolls[[#This Row],[Wins]]/mlb_payrolls[[#This Row],[Games]], "")</f>
        <v>0.59876543209876543</v>
      </c>
      <c r="O356" s="1">
        <f>IFERROR(VALUE(mlb_payrolls[[#This Row],[Total Payroll Allocations]])/VALUE(mlb_payrolls[[#This Row],[Wins]]),"")</f>
        <v>1878751.0721649486</v>
      </c>
      <c r="P356" s="1">
        <f>SUM(mlb_payrolls[[#This Row],[Active 26-Man]],mlb_payrolls[[#This Row],[Injured]],mlb_payrolls[[#This Row],[Retained]],mlb_payrolls[[#This Row],[Buried]])</f>
        <v>182238854</v>
      </c>
      <c r="Q356" s="1">
        <f>mlb_payrolls[[#This Row],[Total Payroll Allocations]]-mlb_payrolls[[#This Row],[Payroll Parts Sum]]</f>
        <v>0</v>
      </c>
      <c r="R356" s="2">
        <f>IF(mlb_payrolls[[#This Row],[Total Payroll Allocations]]&gt;0, mlb_payrolls[[#This Row],[Active 26-Man]]/mlb_payrolls[[#This Row],[Total Payroll Allocations]],"")</f>
        <v>0.90288019480192738</v>
      </c>
      <c r="S356" s="2">
        <f>IF(mlb_payrolls[[#This Row],[Total Payroll Allocations]]&gt;0,mlb_payrolls[[#This Row],[Injured]]/mlb_payrolls[[#This Row],[Total Payroll Allocations]])</f>
        <v>6.2290267694506025E-2</v>
      </c>
      <c r="T356" s="3">
        <f>IF(mlb_payrolls[[#This Row],[Total Payroll Allocations]]&gt;0,mlb_payrolls[[#This Row],[Retained]]/mlb_payrolls[[#This Row],[Total Payroll Allocations]])</f>
        <v>3.266421989242755E-2</v>
      </c>
      <c r="U356" s="3">
        <f>IF(mlb_payrolls[[#This Row],[Total Payroll Allocations]]&gt;0,mlb_payrolls[[#This Row],[Buried]]/mlb_payrolls[[#This Row],[Total Payroll Allocations]])</f>
        <v>2.1653176111390603E-3</v>
      </c>
      <c r="V356">
        <f>IF(mlb_payrolls[[#This Row],[Postseason]]="No Playoffs",0,1)</f>
        <v>1</v>
      </c>
    </row>
    <row r="357" spans="1:22" x14ac:dyDescent="0.3">
      <c r="A357" t="s">
        <v>59</v>
      </c>
      <c r="B357" t="s">
        <v>60</v>
      </c>
      <c r="C357">
        <v>2021</v>
      </c>
      <c r="D357">
        <v>28.7</v>
      </c>
      <c r="E357" s="1">
        <v>182749560</v>
      </c>
      <c r="F357" s="1">
        <v>33967088</v>
      </c>
      <c r="G357" s="1">
        <v>100777679</v>
      </c>
      <c r="H357" s="1">
        <v>46663119</v>
      </c>
      <c r="I357" s="1">
        <v>1341674</v>
      </c>
      <c r="J357">
        <v>77</v>
      </c>
      <c r="K357">
        <v>85</v>
      </c>
      <c r="L357" t="s">
        <v>14</v>
      </c>
      <c r="M357">
        <f>mlb_payrolls[[#This Row],[Wins]] + mlb_payrolls[[#This Row],[Losses]]</f>
        <v>162</v>
      </c>
      <c r="N357" s="2">
        <f>IF(mlb_payrolls[[#This Row],[Games]] &gt;0, mlb_payrolls[[#This Row],[Wins]]/mlb_payrolls[[#This Row],[Games]], "")</f>
        <v>0.47530864197530864</v>
      </c>
      <c r="O357" s="1">
        <f>IFERROR(VALUE(mlb_payrolls[[#This Row],[Total Payroll Allocations]])/VALUE(mlb_payrolls[[#This Row],[Wins]]),"")</f>
        <v>2373370.9090909092</v>
      </c>
      <c r="P357" s="1">
        <f>SUM(mlb_payrolls[[#This Row],[Active 26-Man]],mlb_payrolls[[#This Row],[Injured]],mlb_payrolls[[#This Row],[Retained]],mlb_payrolls[[#This Row],[Buried]])</f>
        <v>182749560</v>
      </c>
      <c r="Q357" s="1">
        <f>mlb_payrolls[[#This Row],[Total Payroll Allocations]]-mlb_payrolls[[#This Row],[Payroll Parts Sum]]</f>
        <v>0</v>
      </c>
      <c r="R357" s="2">
        <f>IF(mlb_payrolls[[#This Row],[Total Payroll Allocations]]&gt;0, mlb_payrolls[[#This Row],[Active 26-Man]]/mlb_payrolls[[#This Row],[Total Payroll Allocations]],"")</f>
        <v>0.18586686610900732</v>
      </c>
      <c r="S357" s="2">
        <f>IF(mlb_payrolls[[#This Row],[Total Payroll Allocations]]&gt;0,mlb_payrolls[[#This Row],[Injured]]/mlb_payrolls[[#This Row],[Total Payroll Allocations]])</f>
        <v>0.55145237558985094</v>
      </c>
      <c r="T357" s="3">
        <f>IF(mlb_payrolls[[#This Row],[Total Payroll Allocations]]&gt;0,mlb_payrolls[[#This Row],[Retained]]/mlb_payrolls[[#This Row],[Total Payroll Allocations]])</f>
        <v>0.25533915922971306</v>
      </c>
      <c r="U357" s="3">
        <f>IF(mlb_payrolls[[#This Row],[Total Payroll Allocations]]&gt;0,mlb_payrolls[[#This Row],[Buried]]/mlb_payrolls[[#This Row],[Total Payroll Allocations]])</f>
        <v>7.3415990714286805E-3</v>
      </c>
      <c r="V357">
        <f>IF(mlb_payrolls[[#This Row],[Postseason]]="No Playoffs",0,1)</f>
        <v>0</v>
      </c>
    </row>
    <row r="358" spans="1:22" x14ac:dyDescent="0.3">
      <c r="A358" t="s">
        <v>47</v>
      </c>
      <c r="B358" t="s">
        <v>48</v>
      </c>
      <c r="C358">
        <v>2015</v>
      </c>
      <c r="D358">
        <v>27.2</v>
      </c>
      <c r="E358" s="1">
        <v>183481478</v>
      </c>
      <c r="F358" s="1">
        <v>95030446</v>
      </c>
      <c r="G358" s="1">
        <v>42985571</v>
      </c>
      <c r="H358" s="1">
        <v>45443277</v>
      </c>
      <c r="I358" s="1">
        <v>22184</v>
      </c>
      <c r="J358">
        <v>78</v>
      </c>
      <c r="K358">
        <v>84</v>
      </c>
      <c r="L358" t="s">
        <v>14</v>
      </c>
      <c r="M358">
        <f>mlb_payrolls[[#This Row],[Wins]] + mlb_payrolls[[#This Row],[Losses]]</f>
        <v>162</v>
      </c>
      <c r="N358" s="2">
        <f>IF(mlb_payrolls[[#This Row],[Games]] &gt;0, mlb_payrolls[[#This Row],[Wins]]/mlb_payrolls[[#This Row],[Games]], "")</f>
        <v>0.48148148148148145</v>
      </c>
      <c r="O358" s="1">
        <f>IFERROR(VALUE(mlb_payrolls[[#This Row],[Total Payroll Allocations]])/VALUE(mlb_payrolls[[#This Row],[Wins]]),"")</f>
        <v>2352326.641025641</v>
      </c>
      <c r="P358" s="1">
        <f>SUM(mlb_payrolls[[#This Row],[Active 26-Man]],mlb_payrolls[[#This Row],[Injured]],mlb_payrolls[[#This Row],[Retained]],mlb_payrolls[[#This Row],[Buried]])</f>
        <v>183481478</v>
      </c>
      <c r="Q358" s="1">
        <f>mlb_payrolls[[#This Row],[Total Payroll Allocations]]-mlb_payrolls[[#This Row],[Payroll Parts Sum]]</f>
        <v>0</v>
      </c>
      <c r="R358" s="2">
        <f>IF(mlb_payrolls[[#This Row],[Total Payroll Allocations]]&gt;0, mlb_payrolls[[#This Row],[Active 26-Man]]/mlb_payrolls[[#This Row],[Total Payroll Allocations]],"")</f>
        <v>0.51792936832566827</v>
      </c>
      <c r="S358" s="2">
        <f>IF(mlb_payrolls[[#This Row],[Total Payroll Allocations]]&gt;0,mlb_payrolls[[#This Row],[Injured]]/mlb_payrolls[[#This Row],[Total Payroll Allocations]])</f>
        <v>0.23427744025475966</v>
      </c>
      <c r="T358" s="3">
        <f>IF(mlb_payrolls[[#This Row],[Total Payroll Allocations]]&gt;0,mlb_payrolls[[#This Row],[Retained]]/mlb_payrolls[[#This Row],[Total Payroll Allocations]])</f>
        <v>0.24767228548267961</v>
      </c>
      <c r="U358" s="3">
        <f>IF(mlb_payrolls[[#This Row],[Total Payroll Allocations]]&gt;0,mlb_payrolls[[#This Row],[Buried]]/mlb_payrolls[[#This Row],[Total Payroll Allocations]])</f>
        <v>1.2090593689244208E-4</v>
      </c>
      <c r="V358">
        <f>IF(mlb_payrolls[[#This Row],[Postseason]]="No Playoffs",0,1)</f>
        <v>0</v>
      </c>
    </row>
    <row r="359" spans="1:22" x14ac:dyDescent="0.3">
      <c r="A359" t="s">
        <v>65</v>
      </c>
      <c r="B359" t="s">
        <v>66</v>
      </c>
      <c r="C359">
        <v>2022</v>
      </c>
      <c r="D359">
        <v>29</v>
      </c>
      <c r="E359" s="1">
        <v>183791796</v>
      </c>
      <c r="F359" s="1">
        <v>142736145</v>
      </c>
      <c r="G359" s="1">
        <v>21550000</v>
      </c>
      <c r="H359" s="1">
        <v>14691453</v>
      </c>
      <c r="I359" s="1">
        <v>2135613</v>
      </c>
      <c r="J359">
        <v>106</v>
      </c>
      <c r="K359">
        <v>56</v>
      </c>
      <c r="L359" t="s">
        <v>24</v>
      </c>
      <c r="M359">
        <f>mlb_payrolls[[#This Row],[Wins]] + mlb_payrolls[[#This Row],[Losses]]</f>
        <v>162</v>
      </c>
      <c r="N359" s="2">
        <f>IF(mlb_payrolls[[#This Row],[Games]] &gt;0, mlb_payrolls[[#This Row],[Wins]]/mlb_payrolls[[#This Row],[Games]], "")</f>
        <v>0.65432098765432101</v>
      </c>
      <c r="O359" s="1">
        <f>IFERROR(VALUE(mlb_payrolls[[#This Row],[Total Payroll Allocations]])/VALUE(mlb_payrolls[[#This Row],[Wins]]),"")</f>
        <v>1733884.8679245282</v>
      </c>
      <c r="P359" s="1">
        <f>SUM(mlb_payrolls[[#This Row],[Active 26-Man]],mlb_payrolls[[#This Row],[Injured]],mlb_payrolls[[#This Row],[Retained]],mlb_payrolls[[#This Row],[Buried]])</f>
        <v>181113211</v>
      </c>
      <c r="Q359" s="1">
        <f>mlb_payrolls[[#This Row],[Total Payroll Allocations]]-mlb_payrolls[[#This Row],[Payroll Parts Sum]]</f>
        <v>2678585</v>
      </c>
      <c r="R359" s="2">
        <f>IF(mlb_payrolls[[#This Row],[Total Payroll Allocations]]&gt;0, mlb_payrolls[[#This Row],[Active 26-Man]]/mlb_payrolls[[#This Row],[Total Payroll Allocations]],"")</f>
        <v>0.77661869629915359</v>
      </c>
      <c r="S359" s="2">
        <f>IF(mlb_payrolls[[#This Row],[Total Payroll Allocations]]&gt;0,mlb_payrolls[[#This Row],[Injured]]/mlb_payrolls[[#This Row],[Total Payroll Allocations]])</f>
        <v>0.11725224122626235</v>
      </c>
      <c r="T359" s="3">
        <f>IF(mlb_payrolls[[#This Row],[Total Payroll Allocations]]&gt;0,mlb_payrolls[[#This Row],[Retained]]/mlb_payrolls[[#This Row],[Total Payroll Allocations]])</f>
        <v>7.9935303532264301E-2</v>
      </c>
      <c r="U359" s="3">
        <f>IF(mlb_payrolls[[#This Row],[Total Payroll Allocations]]&gt;0,mlb_payrolls[[#This Row],[Buried]]/mlb_payrolls[[#This Row],[Total Payroll Allocations]])</f>
        <v>1.1619740633036743E-2</v>
      </c>
      <c r="V359">
        <f>IF(mlb_payrolls[[#This Row],[Postseason]]="No Playoffs",0,1)</f>
        <v>1</v>
      </c>
    </row>
    <row r="360" spans="1:22" x14ac:dyDescent="0.3">
      <c r="A360" t="s">
        <v>47</v>
      </c>
      <c r="B360" t="s">
        <v>48</v>
      </c>
      <c r="C360">
        <v>2021</v>
      </c>
      <c r="D360">
        <v>29.1</v>
      </c>
      <c r="E360" s="1">
        <v>186718068</v>
      </c>
      <c r="F360" s="1">
        <v>141452731</v>
      </c>
      <c r="G360" s="1">
        <v>2832729</v>
      </c>
      <c r="H360" s="1">
        <v>41374493</v>
      </c>
      <c r="I360" s="1">
        <v>1058115</v>
      </c>
      <c r="J360">
        <v>92</v>
      </c>
      <c r="K360">
        <v>70</v>
      </c>
      <c r="L360" t="s">
        <v>21</v>
      </c>
      <c r="M360">
        <f>mlb_payrolls[[#This Row],[Wins]] + mlb_payrolls[[#This Row],[Losses]]</f>
        <v>162</v>
      </c>
      <c r="N360" s="2">
        <f>IF(mlb_payrolls[[#This Row],[Games]] &gt;0, mlb_payrolls[[#This Row],[Wins]]/mlb_payrolls[[#This Row],[Games]], "")</f>
        <v>0.5679012345679012</v>
      </c>
      <c r="O360" s="1">
        <f>IFERROR(VALUE(mlb_payrolls[[#This Row],[Total Payroll Allocations]])/VALUE(mlb_payrolls[[#This Row],[Wins]]),"")</f>
        <v>2029544.2173913044</v>
      </c>
      <c r="P360" s="1">
        <f>SUM(mlb_payrolls[[#This Row],[Active 26-Man]],mlb_payrolls[[#This Row],[Injured]],mlb_payrolls[[#This Row],[Retained]],mlb_payrolls[[#This Row],[Buried]])</f>
        <v>186718068</v>
      </c>
      <c r="Q360" s="1">
        <f>mlb_payrolls[[#This Row],[Total Payroll Allocations]]-mlb_payrolls[[#This Row],[Payroll Parts Sum]]</f>
        <v>0</v>
      </c>
      <c r="R360" s="2">
        <f>IF(mlb_payrolls[[#This Row],[Total Payroll Allocations]]&gt;0, mlb_payrolls[[#This Row],[Active 26-Man]]/mlb_payrolls[[#This Row],[Total Payroll Allocations]],"")</f>
        <v>0.75757387871001325</v>
      </c>
      <c r="S360" s="2">
        <f>IF(mlb_payrolls[[#This Row],[Total Payroll Allocations]]&gt;0,mlb_payrolls[[#This Row],[Injured]]/mlb_payrolls[[#This Row],[Total Payroll Allocations]])</f>
        <v>1.5171156333944072E-2</v>
      </c>
      <c r="T360" s="3">
        <f>IF(mlb_payrolls[[#This Row],[Total Payroll Allocations]]&gt;0,mlb_payrolls[[#This Row],[Retained]]/mlb_payrolls[[#This Row],[Total Payroll Allocations]])</f>
        <v>0.22158805220713831</v>
      </c>
      <c r="U360" s="3">
        <f>IF(mlb_payrolls[[#This Row],[Total Payroll Allocations]]&gt;0,mlb_payrolls[[#This Row],[Buried]]/mlb_payrolls[[#This Row],[Total Payroll Allocations]])</f>
        <v>5.6669127489044069E-3</v>
      </c>
      <c r="V360">
        <f>IF(mlb_payrolls[[#This Row],[Postseason]]="No Playoffs",0,1)</f>
        <v>1</v>
      </c>
    </row>
    <row r="361" spans="1:22" x14ac:dyDescent="0.3">
      <c r="A361" t="s">
        <v>61</v>
      </c>
      <c r="B361" t="s">
        <v>62</v>
      </c>
      <c r="C361">
        <v>2016</v>
      </c>
      <c r="D361">
        <v>28.4</v>
      </c>
      <c r="E361" s="1">
        <v>186772494</v>
      </c>
      <c r="F361" s="1">
        <v>165798832</v>
      </c>
      <c r="G361" s="1">
        <v>2050500</v>
      </c>
      <c r="H361" s="1">
        <v>17412586</v>
      </c>
      <c r="I361" s="1">
        <v>1510576</v>
      </c>
      <c r="J361">
        <v>103</v>
      </c>
      <c r="K361">
        <v>58</v>
      </c>
      <c r="L361" t="s">
        <v>24</v>
      </c>
      <c r="M361">
        <f>mlb_payrolls[[#This Row],[Wins]] + mlb_payrolls[[#This Row],[Losses]]</f>
        <v>161</v>
      </c>
      <c r="N361" s="2">
        <f>IF(mlb_payrolls[[#This Row],[Games]] &gt;0, mlb_payrolls[[#This Row],[Wins]]/mlb_payrolls[[#This Row],[Games]], "")</f>
        <v>0.63975155279503104</v>
      </c>
      <c r="O361" s="1">
        <f>IFERROR(VALUE(mlb_payrolls[[#This Row],[Total Payroll Allocations]])/VALUE(mlb_payrolls[[#This Row],[Wins]]),"")</f>
        <v>1813325.1844660195</v>
      </c>
      <c r="P361" s="1">
        <f>SUM(mlb_payrolls[[#This Row],[Active 26-Man]],mlb_payrolls[[#This Row],[Injured]],mlb_payrolls[[#This Row],[Retained]],mlb_payrolls[[#This Row],[Buried]])</f>
        <v>186772494</v>
      </c>
      <c r="Q361" s="1">
        <f>mlb_payrolls[[#This Row],[Total Payroll Allocations]]-mlb_payrolls[[#This Row],[Payroll Parts Sum]]</f>
        <v>0</v>
      </c>
      <c r="R361" s="2">
        <f>IF(mlb_payrolls[[#This Row],[Total Payroll Allocations]]&gt;0, mlb_payrolls[[#This Row],[Active 26-Man]]/mlb_payrolls[[#This Row],[Total Payroll Allocations]],"")</f>
        <v>0.88770476020949851</v>
      </c>
      <c r="S361" s="2">
        <f>IF(mlb_payrolls[[#This Row],[Total Payroll Allocations]]&gt;0,mlb_payrolls[[#This Row],[Injured]]/mlb_payrolls[[#This Row],[Total Payroll Allocations]])</f>
        <v>1.0978597308873543E-2</v>
      </c>
      <c r="T361" s="3">
        <f>IF(mlb_payrolls[[#This Row],[Total Payroll Allocations]]&gt;0,mlb_payrolls[[#This Row],[Retained]]/mlb_payrolls[[#This Row],[Total Payroll Allocations]])</f>
        <v>9.3228856279019334E-2</v>
      </c>
      <c r="U361" s="3">
        <f>IF(mlb_payrolls[[#This Row],[Total Payroll Allocations]]&gt;0,mlb_payrolls[[#This Row],[Buried]]/mlb_payrolls[[#This Row],[Total Payroll Allocations]])</f>
        <v>8.0877862026086135E-3</v>
      </c>
      <c r="V361">
        <f>IF(mlb_payrolls[[#This Row],[Postseason]]="No Playoffs",0,1)</f>
        <v>1</v>
      </c>
    </row>
    <row r="362" spans="1:22" x14ac:dyDescent="0.3">
      <c r="A362" t="s">
        <v>53</v>
      </c>
      <c r="B362" t="s">
        <v>54</v>
      </c>
      <c r="C362">
        <v>2023</v>
      </c>
      <c r="D362">
        <v>28.1</v>
      </c>
      <c r="E362" s="1">
        <v>187398165</v>
      </c>
      <c r="F362" s="1">
        <v>130565831</v>
      </c>
      <c r="G362" s="1">
        <v>39922449</v>
      </c>
      <c r="H362" s="1">
        <v>15271991</v>
      </c>
      <c r="I362" s="1">
        <v>1637894</v>
      </c>
      <c r="J362">
        <v>79</v>
      </c>
      <c r="K362">
        <v>83</v>
      </c>
      <c r="L362" t="s">
        <v>14</v>
      </c>
      <c r="M362">
        <f>mlb_payrolls[[#This Row],[Wins]] + mlb_payrolls[[#This Row],[Losses]]</f>
        <v>162</v>
      </c>
      <c r="N362" s="2">
        <f>IF(mlb_payrolls[[#This Row],[Games]] &gt;0, mlb_payrolls[[#This Row],[Wins]]/mlb_payrolls[[#This Row],[Games]], "")</f>
        <v>0.48765432098765432</v>
      </c>
      <c r="O362" s="1">
        <f>IFERROR(VALUE(mlb_payrolls[[#This Row],[Total Payroll Allocations]])/VALUE(mlb_payrolls[[#This Row],[Wins]]),"")</f>
        <v>2372128.6708860761</v>
      </c>
      <c r="P362" s="1">
        <f>SUM(mlb_payrolls[[#This Row],[Active 26-Man]],mlb_payrolls[[#This Row],[Injured]],mlb_payrolls[[#This Row],[Retained]],mlb_payrolls[[#This Row],[Buried]])</f>
        <v>187398165</v>
      </c>
      <c r="Q362" s="1">
        <f>mlb_payrolls[[#This Row],[Total Payroll Allocations]]-mlb_payrolls[[#This Row],[Payroll Parts Sum]]</f>
        <v>0</v>
      </c>
      <c r="R362" s="2">
        <f>IF(mlb_payrolls[[#This Row],[Total Payroll Allocations]]&gt;0, mlb_payrolls[[#This Row],[Active 26-Man]]/mlb_payrolls[[#This Row],[Total Payroll Allocations]],"")</f>
        <v>0.69672950639618059</v>
      </c>
      <c r="S362" s="2">
        <f>IF(mlb_payrolls[[#This Row],[Total Payroll Allocations]]&gt;0,mlb_payrolls[[#This Row],[Injured]]/mlb_payrolls[[#This Row],[Total Payroll Allocations]])</f>
        <v>0.21303543180372123</v>
      </c>
      <c r="T362" s="3">
        <f>IF(mlb_payrolls[[#This Row],[Total Payroll Allocations]]&gt;0,mlb_payrolls[[#This Row],[Retained]]/mlb_payrolls[[#This Row],[Total Payroll Allocations]])</f>
        <v>8.1494880165982414E-2</v>
      </c>
      <c r="U362" s="3">
        <f>IF(mlb_payrolls[[#This Row],[Total Payroll Allocations]]&gt;0,mlb_payrolls[[#This Row],[Buried]]/mlb_payrolls[[#This Row],[Total Payroll Allocations]])</f>
        <v>8.7401816341157873E-3</v>
      </c>
      <c r="V362">
        <f>IF(mlb_payrolls[[#This Row],[Postseason]]="No Playoffs",0,1)</f>
        <v>0</v>
      </c>
    </row>
    <row r="363" spans="1:22" x14ac:dyDescent="0.3">
      <c r="A363" t="s">
        <v>19</v>
      </c>
      <c r="B363" t="s">
        <v>20</v>
      </c>
      <c r="C363">
        <v>2017</v>
      </c>
      <c r="D363">
        <v>27.1</v>
      </c>
      <c r="E363" s="1">
        <v>188028874</v>
      </c>
      <c r="F363" s="1">
        <v>91135320</v>
      </c>
      <c r="G363" s="1">
        <v>18000000</v>
      </c>
      <c r="H363" s="1">
        <v>77874916</v>
      </c>
      <c r="I363" s="1">
        <v>1018638</v>
      </c>
      <c r="J363">
        <v>64</v>
      </c>
      <c r="K363">
        <v>98</v>
      </c>
      <c r="L363" t="s">
        <v>14</v>
      </c>
      <c r="M363">
        <f>mlb_payrolls[[#This Row],[Wins]] + mlb_payrolls[[#This Row],[Losses]]</f>
        <v>162</v>
      </c>
      <c r="N363" s="2">
        <f>IF(mlb_payrolls[[#This Row],[Games]] &gt;0, mlb_payrolls[[#This Row],[Wins]]/mlb_payrolls[[#This Row],[Games]], "")</f>
        <v>0.39506172839506171</v>
      </c>
      <c r="O363" s="1">
        <f>IFERROR(VALUE(mlb_payrolls[[#This Row],[Total Payroll Allocations]])/VALUE(mlb_payrolls[[#This Row],[Wins]]),"")</f>
        <v>2937951.15625</v>
      </c>
      <c r="P363" s="1">
        <f>SUM(mlb_payrolls[[#This Row],[Active 26-Man]],mlb_payrolls[[#This Row],[Injured]],mlb_payrolls[[#This Row],[Retained]],mlb_payrolls[[#This Row],[Buried]])</f>
        <v>188028874</v>
      </c>
      <c r="Q363" s="1">
        <f>mlb_payrolls[[#This Row],[Total Payroll Allocations]]-mlb_payrolls[[#This Row],[Payroll Parts Sum]]</f>
        <v>0</v>
      </c>
      <c r="R363" s="2">
        <f>IF(mlb_payrolls[[#This Row],[Total Payroll Allocations]]&gt;0, mlb_payrolls[[#This Row],[Active 26-Man]]/mlb_payrolls[[#This Row],[Total Payroll Allocations]],"")</f>
        <v>0.48468789958291192</v>
      </c>
      <c r="S363" s="2">
        <f>IF(mlb_payrolls[[#This Row],[Total Payroll Allocations]]&gt;0,mlb_payrolls[[#This Row],[Injured]]/mlb_payrolls[[#This Row],[Total Payroll Allocations]])</f>
        <v>9.5729978152185286E-2</v>
      </c>
      <c r="T363" s="3">
        <f>IF(mlb_payrolls[[#This Row],[Total Payroll Allocations]]&gt;0,mlb_payrolls[[#This Row],[Retained]]/mlb_payrolls[[#This Row],[Total Payroll Allocations]])</f>
        <v>0.41416466707129246</v>
      </c>
      <c r="U363" s="3">
        <f>IF(mlb_payrolls[[#This Row],[Total Payroll Allocations]]&gt;0,mlb_payrolls[[#This Row],[Buried]]/mlb_payrolls[[#This Row],[Total Payroll Allocations]])</f>
        <v>5.4174551936103177E-3</v>
      </c>
      <c r="V363">
        <f>IF(mlb_payrolls[[#This Row],[Postseason]]="No Playoffs",0,1)</f>
        <v>0</v>
      </c>
    </row>
    <row r="364" spans="1:22" x14ac:dyDescent="0.3">
      <c r="A364" t="s">
        <v>53</v>
      </c>
      <c r="B364" t="s">
        <v>54</v>
      </c>
      <c r="C364">
        <v>2017</v>
      </c>
      <c r="D364">
        <v>28.1</v>
      </c>
      <c r="E364" s="1">
        <v>188406809</v>
      </c>
      <c r="F364" s="1">
        <v>171792784</v>
      </c>
      <c r="G364" s="1">
        <v>7219058</v>
      </c>
      <c r="H364" s="1">
        <v>6354972</v>
      </c>
      <c r="I364" s="1">
        <v>3039995</v>
      </c>
      <c r="J364">
        <v>64</v>
      </c>
      <c r="K364">
        <v>98</v>
      </c>
      <c r="L364" t="s">
        <v>14</v>
      </c>
      <c r="M364">
        <f>mlb_payrolls[[#This Row],[Wins]] + mlb_payrolls[[#This Row],[Losses]]</f>
        <v>162</v>
      </c>
      <c r="N364" s="2">
        <f>IF(mlb_payrolls[[#This Row],[Games]] &gt;0, mlb_payrolls[[#This Row],[Wins]]/mlb_payrolls[[#This Row],[Games]], "")</f>
        <v>0.39506172839506171</v>
      </c>
      <c r="O364" s="1">
        <f>IFERROR(VALUE(mlb_payrolls[[#This Row],[Total Payroll Allocations]])/VALUE(mlb_payrolls[[#This Row],[Wins]]),"")</f>
        <v>2943856.390625</v>
      </c>
      <c r="P364" s="1">
        <f>SUM(mlb_payrolls[[#This Row],[Active 26-Man]],mlb_payrolls[[#This Row],[Injured]],mlb_payrolls[[#This Row],[Retained]],mlb_payrolls[[#This Row],[Buried]])</f>
        <v>188406809</v>
      </c>
      <c r="Q364" s="1">
        <f>mlb_payrolls[[#This Row],[Total Payroll Allocations]]-mlb_payrolls[[#This Row],[Payroll Parts Sum]]</f>
        <v>0</v>
      </c>
      <c r="R364" s="2">
        <f>IF(mlb_payrolls[[#This Row],[Total Payroll Allocations]]&gt;0, mlb_payrolls[[#This Row],[Active 26-Man]]/mlb_payrolls[[#This Row],[Total Payroll Allocations]],"")</f>
        <v>0.91181834091781688</v>
      </c>
      <c r="S364" s="2">
        <f>IF(mlb_payrolls[[#This Row],[Total Payroll Allocations]]&gt;0,mlb_payrolls[[#This Row],[Injured]]/mlb_payrolls[[#This Row],[Total Payroll Allocations]])</f>
        <v>3.8316332824255839E-2</v>
      </c>
      <c r="T364" s="3">
        <f>IF(mlb_payrolls[[#This Row],[Total Payroll Allocations]]&gt;0,mlb_payrolls[[#This Row],[Retained]]/mlb_payrolls[[#This Row],[Total Payroll Allocations]])</f>
        <v>3.3730054841064686E-2</v>
      </c>
      <c r="U364" s="3">
        <f>IF(mlb_payrolls[[#This Row],[Total Payroll Allocations]]&gt;0,mlb_payrolls[[#This Row],[Buried]]/mlb_payrolls[[#This Row],[Total Payroll Allocations]])</f>
        <v>1.6135271416862645E-2</v>
      </c>
      <c r="V364">
        <f>IF(mlb_payrolls[[#This Row],[Postseason]]="No Playoffs",0,1)</f>
        <v>0</v>
      </c>
    </row>
    <row r="365" spans="1:22" x14ac:dyDescent="0.3">
      <c r="A365" t="s">
        <v>47</v>
      </c>
      <c r="B365" t="s">
        <v>48</v>
      </c>
      <c r="C365">
        <v>2024</v>
      </c>
      <c r="D365">
        <v>27.5</v>
      </c>
      <c r="E365" s="1">
        <v>188537445</v>
      </c>
      <c r="F365" s="1">
        <v>77327289</v>
      </c>
      <c r="G365" s="1">
        <v>76400974</v>
      </c>
      <c r="H365" s="1">
        <v>31745306</v>
      </c>
      <c r="I365" s="1">
        <v>3063876</v>
      </c>
      <c r="J365">
        <v>81</v>
      </c>
      <c r="K365">
        <v>81</v>
      </c>
      <c r="L365" t="s">
        <v>14</v>
      </c>
      <c r="M365">
        <f>mlb_payrolls[[#This Row],[Wins]] + mlb_payrolls[[#This Row],[Losses]]</f>
        <v>162</v>
      </c>
      <c r="N365" s="2">
        <f>IF(mlb_payrolls[[#This Row],[Games]] &gt;0, mlb_payrolls[[#This Row],[Wins]]/mlb_payrolls[[#This Row],[Games]], "")</f>
        <v>0.5</v>
      </c>
      <c r="O365" s="1">
        <f>IFERROR(VALUE(mlb_payrolls[[#This Row],[Total Payroll Allocations]])/VALUE(mlb_payrolls[[#This Row],[Wins]]),"")</f>
        <v>2327622.777777778</v>
      </c>
      <c r="P365" s="1">
        <f>SUM(mlb_payrolls[[#This Row],[Active 26-Man]],mlb_payrolls[[#This Row],[Injured]],mlb_payrolls[[#This Row],[Retained]],mlb_payrolls[[#This Row],[Buried]])</f>
        <v>188537445</v>
      </c>
      <c r="Q365" s="1">
        <f>mlb_payrolls[[#This Row],[Total Payroll Allocations]]-mlb_payrolls[[#This Row],[Payroll Parts Sum]]</f>
        <v>0</v>
      </c>
      <c r="R365" s="2">
        <f>IF(mlb_payrolls[[#This Row],[Total Payroll Allocations]]&gt;0, mlb_payrolls[[#This Row],[Active 26-Man]]/mlb_payrolls[[#This Row],[Total Payroll Allocations]],"")</f>
        <v>0.41014287108855219</v>
      </c>
      <c r="S365" s="2">
        <f>IF(mlb_payrolls[[#This Row],[Total Payroll Allocations]]&gt;0,mlb_payrolls[[#This Row],[Injured]]/mlb_payrolls[[#This Row],[Total Payroll Allocations]])</f>
        <v>0.40522970914345424</v>
      </c>
      <c r="T365" s="3">
        <f>IF(mlb_payrolls[[#This Row],[Total Payroll Allocations]]&gt;0,mlb_payrolls[[#This Row],[Retained]]/mlb_payrolls[[#This Row],[Total Payroll Allocations]])</f>
        <v>0.16837666385051522</v>
      </c>
      <c r="U365" s="3">
        <f>IF(mlb_payrolls[[#This Row],[Total Payroll Allocations]]&gt;0,mlb_payrolls[[#This Row],[Buried]]/mlb_payrolls[[#This Row],[Total Payroll Allocations]])</f>
        <v>1.6250755917478356E-2</v>
      </c>
      <c r="V365">
        <f>IF(mlb_payrolls[[#This Row],[Postseason]]="No Playoffs",0,1)</f>
        <v>0</v>
      </c>
    </row>
    <row r="366" spans="1:22" x14ac:dyDescent="0.3">
      <c r="A366" t="s">
        <v>61</v>
      </c>
      <c r="B366" t="s">
        <v>62</v>
      </c>
      <c r="C366">
        <v>2023</v>
      </c>
      <c r="D366">
        <v>28.5</v>
      </c>
      <c r="E366" s="1">
        <v>189409358</v>
      </c>
      <c r="F366" s="1">
        <v>134751105</v>
      </c>
      <c r="G366" s="1">
        <v>12522069</v>
      </c>
      <c r="H366" s="1">
        <v>35403285</v>
      </c>
      <c r="I366" s="1">
        <v>6732899</v>
      </c>
      <c r="J366">
        <v>83</v>
      </c>
      <c r="K366">
        <v>79</v>
      </c>
      <c r="L366" t="s">
        <v>14</v>
      </c>
      <c r="M366">
        <f>mlb_payrolls[[#This Row],[Wins]] + mlb_payrolls[[#This Row],[Losses]]</f>
        <v>162</v>
      </c>
      <c r="N366" s="2">
        <f>IF(mlb_payrolls[[#This Row],[Games]] &gt;0, mlb_payrolls[[#This Row],[Wins]]/mlb_payrolls[[#This Row],[Games]], "")</f>
        <v>0.51234567901234573</v>
      </c>
      <c r="O366" s="1">
        <f>IFERROR(VALUE(mlb_payrolls[[#This Row],[Total Payroll Allocations]])/VALUE(mlb_payrolls[[#This Row],[Wins]]),"")</f>
        <v>2282040.4578313255</v>
      </c>
      <c r="P366" s="1">
        <f>SUM(mlb_payrolls[[#This Row],[Active 26-Man]],mlb_payrolls[[#This Row],[Injured]],mlb_payrolls[[#This Row],[Retained]],mlb_payrolls[[#This Row],[Buried]])</f>
        <v>189409358</v>
      </c>
      <c r="Q366" s="1">
        <f>mlb_payrolls[[#This Row],[Total Payroll Allocations]]-mlb_payrolls[[#This Row],[Payroll Parts Sum]]</f>
        <v>0</v>
      </c>
      <c r="R366" s="2">
        <f>IF(mlb_payrolls[[#This Row],[Total Payroll Allocations]]&gt;0, mlb_payrolls[[#This Row],[Active 26-Man]]/mlb_payrolls[[#This Row],[Total Payroll Allocations]],"")</f>
        <v>0.71142791688254392</v>
      </c>
      <c r="S366" s="2">
        <f>IF(mlb_payrolls[[#This Row],[Total Payroll Allocations]]&gt;0,mlb_payrolls[[#This Row],[Injured]]/mlb_payrolls[[#This Row],[Total Payroll Allocations]])</f>
        <v>6.6111142196047148E-2</v>
      </c>
      <c r="T366" s="3">
        <f>IF(mlb_payrolls[[#This Row],[Total Payroll Allocations]]&gt;0,mlb_payrolls[[#This Row],[Retained]]/mlb_payrolls[[#This Row],[Total Payroll Allocations]])</f>
        <v>0.18691412807597393</v>
      </c>
      <c r="U366" s="3">
        <f>IF(mlb_payrolls[[#This Row],[Total Payroll Allocations]]&gt;0,mlb_payrolls[[#This Row],[Buried]]/mlb_payrolls[[#This Row],[Total Payroll Allocations]])</f>
        <v>3.5546812845435018E-2</v>
      </c>
      <c r="V366">
        <f>IF(mlb_payrolls[[#This Row],[Postseason]]="No Playoffs",0,1)</f>
        <v>0</v>
      </c>
    </row>
    <row r="367" spans="1:22" x14ac:dyDescent="0.3">
      <c r="A367" t="s">
        <v>55</v>
      </c>
      <c r="B367" t="s">
        <v>56</v>
      </c>
      <c r="C367">
        <v>2021</v>
      </c>
      <c r="D367">
        <v>28.2</v>
      </c>
      <c r="E367" s="1">
        <v>190513223</v>
      </c>
      <c r="F367" s="1">
        <v>141014046</v>
      </c>
      <c r="G367" s="1">
        <v>19936225</v>
      </c>
      <c r="H367" s="1">
        <v>13803916</v>
      </c>
      <c r="I367" s="1">
        <v>5759036</v>
      </c>
      <c r="J367">
        <v>82</v>
      </c>
      <c r="K367">
        <v>80</v>
      </c>
      <c r="L367" t="s">
        <v>14</v>
      </c>
      <c r="M367">
        <f>mlb_payrolls[[#This Row],[Wins]] + mlb_payrolls[[#This Row],[Losses]]</f>
        <v>162</v>
      </c>
      <c r="N367" s="2">
        <f>IF(mlb_payrolls[[#This Row],[Games]] &gt;0, mlb_payrolls[[#This Row],[Wins]]/mlb_payrolls[[#This Row],[Games]], "")</f>
        <v>0.50617283950617287</v>
      </c>
      <c r="O367" s="1">
        <f>IFERROR(VALUE(mlb_payrolls[[#This Row],[Total Payroll Allocations]])/VALUE(mlb_payrolls[[#This Row],[Wins]]),"")</f>
        <v>2323331.987804878</v>
      </c>
      <c r="P367" s="1">
        <f>SUM(mlb_payrolls[[#This Row],[Active 26-Man]],mlb_payrolls[[#This Row],[Injured]],mlb_payrolls[[#This Row],[Retained]],mlb_payrolls[[#This Row],[Buried]])</f>
        <v>180513223</v>
      </c>
      <c r="Q367" s="1">
        <f>mlb_payrolls[[#This Row],[Total Payroll Allocations]]-mlb_payrolls[[#This Row],[Payroll Parts Sum]]</f>
        <v>10000000</v>
      </c>
      <c r="R367" s="2">
        <f>IF(mlb_payrolls[[#This Row],[Total Payroll Allocations]]&gt;0, mlb_payrolls[[#This Row],[Active 26-Man]]/mlb_payrolls[[#This Row],[Total Payroll Allocations]],"")</f>
        <v>0.74017983518130914</v>
      </c>
      <c r="S367" s="2">
        <f>IF(mlb_payrolls[[#This Row],[Total Payroll Allocations]]&gt;0,mlb_payrolls[[#This Row],[Injured]]/mlb_payrolls[[#This Row],[Total Payroll Allocations]])</f>
        <v>0.10464483612247744</v>
      </c>
      <c r="T367" s="3">
        <f>IF(mlb_payrolls[[#This Row],[Total Payroll Allocations]]&gt;0,mlb_payrolls[[#This Row],[Retained]]/mlb_payrolls[[#This Row],[Total Payroll Allocations]])</f>
        <v>7.2456471958379495E-2</v>
      </c>
      <c r="U367" s="3">
        <f>IF(mlb_payrolls[[#This Row],[Total Payroll Allocations]]&gt;0,mlb_payrolls[[#This Row],[Buried]]/mlb_payrolls[[#This Row],[Total Payroll Allocations]])</f>
        <v>3.0229061843124662E-2</v>
      </c>
      <c r="V367">
        <f>IF(mlb_payrolls[[#This Row],[Postseason]]="No Playoffs",0,1)</f>
        <v>0</v>
      </c>
    </row>
    <row r="368" spans="1:22" x14ac:dyDescent="0.3">
      <c r="A368" t="s">
        <v>65</v>
      </c>
      <c r="B368" t="s">
        <v>66</v>
      </c>
      <c r="C368">
        <v>2021</v>
      </c>
      <c r="D368">
        <v>28.7</v>
      </c>
      <c r="E368" s="1">
        <v>194222042</v>
      </c>
      <c r="F368" s="1">
        <v>146877726</v>
      </c>
      <c r="G368" s="1">
        <v>39870546</v>
      </c>
      <c r="H368" s="1">
        <v>4134205</v>
      </c>
      <c r="I368" s="1">
        <v>3339565</v>
      </c>
      <c r="J368">
        <v>95</v>
      </c>
      <c r="K368">
        <v>67</v>
      </c>
      <c r="L368" t="s">
        <v>24</v>
      </c>
      <c r="M368">
        <f>mlb_payrolls[[#This Row],[Wins]] + mlb_payrolls[[#This Row],[Losses]]</f>
        <v>162</v>
      </c>
      <c r="N368" s="2">
        <f>IF(mlb_payrolls[[#This Row],[Games]] &gt;0, mlb_payrolls[[#This Row],[Wins]]/mlb_payrolls[[#This Row],[Games]], "")</f>
        <v>0.5864197530864198</v>
      </c>
      <c r="O368" s="1">
        <f>IFERROR(VALUE(mlb_payrolls[[#This Row],[Total Payroll Allocations]])/VALUE(mlb_payrolls[[#This Row],[Wins]]),"")</f>
        <v>2044442.547368421</v>
      </c>
      <c r="P368" s="1">
        <f>SUM(mlb_payrolls[[#This Row],[Active 26-Man]],mlb_payrolls[[#This Row],[Injured]],mlb_payrolls[[#This Row],[Retained]],mlb_payrolls[[#This Row],[Buried]])</f>
        <v>194222042</v>
      </c>
      <c r="Q368" s="1">
        <f>mlb_payrolls[[#This Row],[Total Payroll Allocations]]-mlb_payrolls[[#This Row],[Payroll Parts Sum]]</f>
        <v>0</v>
      </c>
      <c r="R368" s="2">
        <f>IF(mlb_payrolls[[#This Row],[Total Payroll Allocations]]&gt;0, mlb_payrolls[[#This Row],[Active 26-Man]]/mlb_payrolls[[#This Row],[Total Payroll Allocations]],"")</f>
        <v>0.7562361330749473</v>
      </c>
      <c r="S368" s="2">
        <f>IF(mlb_payrolls[[#This Row],[Total Payroll Allocations]]&gt;0,mlb_payrolls[[#This Row],[Injured]]/mlb_payrolls[[#This Row],[Total Payroll Allocations]])</f>
        <v>0.20528332206495903</v>
      </c>
      <c r="T368" s="3">
        <f>IF(mlb_payrolls[[#This Row],[Total Payroll Allocations]]&gt;0,mlb_payrolls[[#This Row],[Retained]]/mlb_payrolls[[#This Row],[Total Payroll Allocations]])</f>
        <v>2.1285972268791201E-2</v>
      </c>
      <c r="U368" s="3">
        <f>IF(mlb_payrolls[[#This Row],[Total Payroll Allocations]]&gt;0,mlb_payrolls[[#This Row],[Buried]]/mlb_payrolls[[#This Row],[Total Payroll Allocations]])</f>
        <v>1.7194572591302484E-2</v>
      </c>
      <c r="V368">
        <f>IF(mlb_payrolls[[#This Row],[Postseason]]="No Playoffs",0,1)</f>
        <v>1</v>
      </c>
    </row>
    <row r="369" spans="1:22" x14ac:dyDescent="0.3">
      <c r="A369" t="s">
        <v>61</v>
      </c>
      <c r="B369" t="s">
        <v>62</v>
      </c>
      <c r="C369">
        <v>2018</v>
      </c>
      <c r="D369">
        <v>28.8</v>
      </c>
      <c r="E369" s="1">
        <v>194259933</v>
      </c>
      <c r="F369" s="1">
        <v>152092957</v>
      </c>
      <c r="G369" s="1">
        <v>37451220</v>
      </c>
      <c r="H369" s="1">
        <v>1216894</v>
      </c>
      <c r="I369" s="1">
        <v>298862</v>
      </c>
      <c r="J369">
        <v>95</v>
      </c>
      <c r="K369">
        <v>68</v>
      </c>
      <c r="L369" t="s">
        <v>21</v>
      </c>
      <c r="M369">
        <f>mlb_payrolls[[#This Row],[Wins]] + mlb_payrolls[[#This Row],[Losses]]</f>
        <v>163</v>
      </c>
      <c r="N369" s="2">
        <f>IF(mlb_payrolls[[#This Row],[Games]] &gt;0, mlb_payrolls[[#This Row],[Wins]]/mlb_payrolls[[#This Row],[Games]], "")</f>
        <v>0.58282208588957052</v>
      </c>
      <c r="O369" s="1">
        <f>IFERROR(VALUE(mlb_payrolls[[#This Row],[Total Payroll Allocations]])/VALUE(mlb_payrolls[[#This Row],[Wins]]),"")</f>
        <v>2044841.4</v>
      </c>
      <c r="P369" s="1">
        <f>SUM(mlb_payrolls[[#This Row],[Active 26-Man]],mlb_payrolls[[#This Row],[Injured]],mlb_payrolls[[#This Row],[Retained]],mlb_payrolls[[#This Row],[Buried]])</f>
        <v>191059933</v>
      </c>
      <c r="Q369" s="1">
        <f>mlb_payrolls[[#This Row],[Total Payroll Allocations]]-mlb_payrolls[[#This Row],[Payroll Parts Sum]]</f>
        <v>3200000</v>
      </c>
      <c r="R369" s="2">
        <f>IF(mlb_payrolls[[#This Row],[Total Payroll Allocations]]&gt;0, mlb_payrolls[[#This Row],[Active 26-Man]]/mlb_payrolls[[#This Row],[Total Payroll Allocations]],"")</f>
        <v>0.78293529010946383</v>
      </c>
      <c r="S369" s="2">
        <f>IF(mlb_payrolls[[#This Row],[Total Payroll Allocations]]&gt;0,mlb_payrolls[[#This Row],[Injured]]/mlb_payrolls[[#This Row],[Total Payroll Allocations]])</f>
        <v>0.19278921505650884</v>
      </c>
      <c r="T369" s="3">
        <f>IF(mlb_payrolls[[#This Row],[Total Payroll Allocations]]&gt;0,mlb_payrolls[[#This Row],[Retained]]/mlb_payrolls[[#This Row],[Total Payroll Allocations]])</f>
        <v>6.2642562529865589E-3</v>
      </c>
      <c r="U369" s="3">
        <f>IF(mlb_payrolls[[#This Row],[Total Payroll Allocations]]&gt;0,mlb_payrolls[[#This Row],[Buried]]/mlb_payrolls[[#This Row],[Total Payroll Allocations]])</f>
        <v>1.5384644449558211E-3</v>
      </c>
      <c r="V369">
        <f>IF(mlb_payrolls[[#This Row],[Postseason]]="No Playoffs",0,1)</f>
        <v>1</v>
      </c>
    </row>
    <row r="370" spans="1:22" x14ac:dyDescent="0.3">
      <c r="A370" t="s">
        <v>51</v>
      </c>
      <c r="B370" t="s">
        <v>52</v>
      </c>
      <c r="C370">
        <v>2018</v>
      </c>
      <c r="D370">
        <v>28.8</v>
      </c>
      <c r="E370" s="1">
        <v>199582045</v>
      </c>
      <c r="F370" s="1">
        <v>160502596</v>
      </c>
      <c r="G370" s="1">
        <v>3908850</v>
      </c>
      <c r="H370" s="1">
        <v>30541679</v>
      </c>
      <c r="I370" s="1">
        <v>4628920</v>
      </c>
      <c r="J370">
        <v>92</v>
      </c>
      <c r="K370">
        <v>71</v>
      </c>
      <c r="L370" t="s">
        <v>24</v>
      </c>
      <c r="M370">
        <f>mlb_payrolls[[#This Row],[Wins]] + mlb_payrolls[[#This Row],[Losses]]</f>
        <v>163</v>
      </c>
      <c r="N370" s="2">
        <f>IF(mlb_payrolls[[#This Row],[Games]] &gt;0, mlb_payrolls[[#This Row],[Wins]]/mlb_payrolls[[#This Row],[Games]], "")</f>
        <v>0.56441717791411039</v>
      </c>
      <c r="O370" s="1">
        <f>IFERROR(VALUE(mlb_payrolls[[#This Row],[Total Payroll Allocations]])/VALUE(mlb_payrolls[[#This Row],[Wins]]),"")</f>
        <v>2169370.0543478262</v>
      </c>
      <c r="P370" s="1">
        <f>SUM(mlb_payrolls[[#This Row],[Active 26-Man]],mlb_payrolls[[#This Row],[Injured]],mlb_payrolls[[#This Row],[Retained]],mlb_payrolls[[#This Row],[Buried]])</f>
        <v>199582045</v>
      </c>
      <c r="Q370" s="1">
        <f>mlb_payrolls[[#This Row],[Total Payroll Allocations]]-mlb_payrolls[[#This Row],[Payroll Parts Sum]]</f>
        <v>0</v>
      </c>
      <c r="R370" s="2">
        <f>IF(mlb_payrolls[[#This Row],[Total Payroll Allocations]]&gt;0, mlb_payrolls[[#This Row],[Active 26-Man]]/mlb_payrolls[[#This Row],[Total Payroll Allocations]],"")</f>
        <v>0.80419356360438132</v>
      </c>
      <c r="S370" s="2">
        <f>IF(mlb_payrolls[[#This Row],[Total Payroll Allocations]]&gt;0,mlb_payrolls[[#This Row],[Injured]]/mlb_payrolls[[#This Row],[Total Payroll Allocations]])</f>
        <v>1.9585178616643596E-2</v>
      </c>
      <c r="T370" s="3">
        <f>IF(mlb_payrolls[[#This Row],[Total Payroll Allocations]]&gt;0,mlb_payrolls[[#This Row],[Retained]]/mlb_payrolls[[#This Row],[Total Payroll Allocations]])</f>
        <v>0.15302818948468036</v>
      </c>
      <c r="U370" s="3">
        <f>IF(mlb_payrolls[[#This Row],[Total Payroll Allocations]]&gt;0,mlb_payrolls[[#This Row],[Buried]]/mlb_payrolls[[#This Row],[Total Payroll Allocations]])</f>
        <v>2.3193068294294711E-2</v>
      </c>
      <c r="V370">
        <f>IF(mlb_payrolls[[#This Row],[Postseason]]="No Playoffs",0,1)</f>
        <v>1</v>
      </c>
    </row>
    <row r="371" spans="1:22" x14ac:dyDescent="0.3">
      <c r="A371" t="s">
        <v>19</v>
      </c>
      <c r="B371" t="s">
        <v>20</v>
      </c>
      <c r="C371">
        <v>2016</v>
      </c>
      <c r="D371">
        <v>28.2</v>
      </c>
      <c r="E371" s="1">
        <v>200179285</v>
      </c>
      <c r="F371" s="1">
        <v>163019728</v>
      </c>
      <c r="G371" s="1">
        <v>28189200</v>
      </c>
      <c r="H371" s="1">
        <v>8675064</v>
      </c>
      <c r="I371" s="1">
        <v>295293</v>
      </c>
      <c r="J371">
        <v>86</v>
      </c>
      <c r="K371">
        <v>75</v>
      </c>
      <c r="L371" t="s">
        <v>14</v>
      </c>
      <c r="M371">
        <f>mlb_payrolls[[#This Row],[Wins]] + mlb_payrolls[[#This Row],[Losses]]</f>
        <v>161</v>
      </c>
      <c r="N371" s="2">
        <f>IF(mlb_payrolls[[#This Row],[Games]] &gt;0, mlb_payrolls[[#This Row],[Wins]]/mlb_payrolls[[#This Row],[Games]], "")</f>
        <v>0.53416149068322982</v>
      </c>
      <c r="O371" s="1">
        <f>IFERROR(VALUE(mlb_payrolls[[#This Row],[Total Payroll Allocations]])/VALUE(mlb_payrolls[[#This Row],[Wins]]),"")</f>
        <v>2327666.1046511629</v>
      </c>
      <c r="P371" s="1">
        <f>SUM(mlb_payrolls[[#This Row],[Active 26-Man]],mlb_payrolls[[#This Row],[Injured]],mlb_payrolls[[#This Row],[Retained]],mlb_payrolls[[#This Row],[Buried]])</f>
        <v>200179285</v>
      </c>
      <c r="Q371" s="1">
        <f>mlb_payrolls[[#This Row],[Total Payroll Allocations]]-mlb_payrolls[[#This Row],[Payroll Parts Sum]]</f>
        <v>0</v>
      </c>
      <c r="R371" s="2">
        <f>IF(mlb_payrolls[[#This Row],[Total Payroll Allocations]]&gt;0, mlb_payrolls[[#This Row],[Active 26-Man]]/mlb_payrolls[[#This Row],[Total Payroll Allocations]],"")</f>
        <v>0.81436861961016593</v>
      </c>
      <c r="S371" s="2">
        <f>IF(mlb_payrolls[[#This Row],[Total Payroll Allocations]]&gt;0,mlb_payrolls[[#This Row],[Injured]]/mlb_payrolls[[#This Row],[Total Payroll Allocations]])</f>
        <v>0.14081976564158474</v>
      </c>
      <c r="T371" s="3">
        <f>IF(mlb_payrolls[[#This Row],[Total Payroll Allocations]]&gt;0,mlb_payrolls[[#This Row],[Retained]]/mlb_payrolls[[#This Row],[Total Payroll Allocations]])</f>
        <v>4.3336472102995072E-2</v>
      </c>
      <c r="U371" s="3">
        <f>IF(mlb_payrolls[[#This Row],[Total Payroll Allocations]]&gt;0,mlb_payrolls[[#This Row],[Buried]]/mlb_payrolls[[#This Row],[Total Payroll Allocations]])</f>
        <v>1.4751426452542279E-3</v>
      </c>
      <c r="V371">
        <f>IF(mlb_payrolls[[#This Row],[Postseason]]="No Playoffs",0,1)</f>
        <v>0</v>
      </c>
    </row>
    <row r="372" spans="1:22" x14ac:dyDescent="0.3">
      <c r="A372" t="s">
        <v>73</v>
      </c>
      <c r="B372" t="s">
        <v>74</v>
      </c>
      <c r="C372">
        <v>2021</v>
      </c>
      <c r="D372">
        <v>29.6</v>
      </c>
      <c r="E372" s="1">
        <v>201189189</v>
      </c>
      <c r="F372" s="1">
        <v>176565754</v>
      </c>
      <c r="G372" s="1">
        <v>11933570</v>
      </c>
      <c r="H372" s="1">
        <v>9524946</v>
      </c>
      <c r="I372" s="1">
        <v>3735419</v>
      </c>
      <c r="J372">
        <v>77</v>
      </c>
      <c r="K372">
        <v>85</v>
      </c>
      <c r="L372" t="s">
        <v>14</v>
      </c>
      <c r="M372">
        <f>mlb_payrolls[[#This Row],[Wins]] + mlb_payrolls[[#This Row],[Losses]]</f>
        <v>162</v>
      </c>
      <c r="N372" s="2">
        <f>IF(mlb_payrolls[[#This Row],[Games]] &gt;0, mlb_payrolls[[#This Row],[Wins]]/mlb_payrolls[[#This Row],[Games]], "")</f>
        <v>0.47530864197530864</v>
      </c>
      <c r="O372" s="1">
        <f>IFERROR(VALUE(mlb_payrolls[[#This Row],[Total Payroll Allocations]])/VALUE(mlb_payrolls[[#This Row],[Wins]]),"")</f>
        <v>2612846.6103896103</v>
      </c>
      <c r="P372" s="1">
        <f>SUM(mlb_payrolls[[#This Row],[Active 26-Man]],mlb_payrolls[[#This Row],[Injured]],mlb_payrolls[[#This Row],[Retained]],mlb_payrolls[[#This Row],[Buried]])</f>
        <v>201759689</v>
      </c>
      <c r="Q372" s="1">
        <f>mlb_payrolls[[#This Row],[Total Payroll Allocations]]-mlb_payrolls[[#This Row],[Payroll Parts Sum]]</f>
        <v>-570500</v>
      </c>
      <c r="R372" s="2">
        <f>IF(mlb_payrolls[[#This Row],[Total Payroll Allocations]]&gt;0, mlb_payrolls[[#This Row],[Active 26-Man]]/mlb_payrolls[[#This Row],[Total Payroll Allocations]],"")</f>
        <v>0.87761054596228827</v>
      </c>
      <c r="S372" s="2">
        <f>IF(mlb_payrolls[[#This Row],[Total Payroll Allocations]]&gt;0,mlb_payrolls[[#This Row],[Injured]]/mlb_payrolls[[#This Row],[Total Payroll Allocations]])</f>
        <v>5.9315165289522589E-2</v>
      </c>
      <c r="T372" s="3">
        <f>IF(mlb_payrolls[[#This Row],[Total Payroll Allocations]]&gt;0,mlb_payrolls[[#This Row],[Retained]]/mlb_payrolls[[#This Row],[Total Payroll Allocations]])</f>
        <v>4.7343229759726303E-2</v>
      </c>
      <c r="U372" s="3">
        <f>IF(mlb_payrolls[[#This Row],[Total Payroll Allocations]]&gt;0,mlb_payrolls[[#This Row],[Buried]]/mlb_payrolls[[#This Row],[Total Payroll Allocations]])</f>
        <v>1.8566698432290016E-2</v>
      </c>
      <c r="V372">
        <f>IF(mlb_payrolls[[#This Row],[Postseason]]="No Playoffs",0,1)</f>
        <v>0</v>
      </c>
    </row>
    <row r="373" spans="1:22" x14ac:dyDescent="0.3">
      <c r="A373" t="s">
        <v>53</v>
      </c>
      <c r="B373" t="s">
        <v>54</v>
      </c>
      <c r="C373">
        <v>2024</v>
      </c>
      <c r="D373">
        <v>27.6</v>
      </c>
      <c r="E373" s="1">
        <v>201967381</v>
      </c>
      <c r="F373" s="1">
        <v>102704227</v>
      </c>
      <c r="G373" s="1">
        <v>53113846</v>
      </c>
      <c r="H373" s="1">
        <v>44357646</v>
      </c>
      <c r="I373" s="1">
        <v>1791662</v>
      </c>
      <c r="J373">
        <v>80</v>
      </c>
      <c r="K373">
        <v>82</v>
      </c>
      <c r="L373" t="s">
        <v>14</v>
      </c>
      <c r="M373">
        <f>mlb_payrolls[[#This Row],[Wins]] + mlb_payrolls[[#This Row],[Losses]]</f>
        <v>162</v>
      </c>
      <c r="N373" s="2">
        <f>IF(mlb_payrolls[[#This Row],[Games]] &gt;0, mlb_payrolls[[#This Row],[Wins]]/mlb_payrolls[[#This Row],[Games]], "")</f>
        <v>0.49382716049382713</v>
      </c>
      <c r="O373" s="1">
        <f>IFERROR(VALUE(mlb_payrolls[[#This Row],[Total Payroll Allocations]])/VALUE(mlb_payrolls[[#This Row],[Wins]]),"")</f>
        <v>2524592.2625000002</v>
      </c>
      <c r="P373" s="1">
        <f>SUM(mlb_payrolls[[#This Row],[Active 26-Man]],mlb_payrolls[[#This Row],[Injured]],mlb_payrolls[[#This Row],[Retained]],mlb_payrolls[[#This Row],[Buried]])</f>
        <v>201967381</v>
      </c>
      <c r="Q373" s="1">
        <f>mlb_payrolls[[#This Row],[Total Payroll Allocations]]-mlb_payrolls[[#This Row],[Payroll Parts Sum]]</f>
        <v>0</v>
      </c>
      <c r="R373" s="2">
        <f>IF(mlb_payrolls[[#This Row],[Total Payroll Allocations]]&gt;0, mlb_payrolls[[#This Row],[Active 26-Man]]/mlb_payrolls[[#This Row],[Total Payroll Allocations]],"")</f>
        <v>0.50851888305666548</v>
      </c>
      <c r="S373" s="2">
        <f>IF(mlb_payrolls[[#This Row],[Total Payroll Allocations]]&gt;0,mlb_payrolls[[#This Row],[Injured]]/mlb_payrolls[[#This Row],[Total Payroll Allocations]])</f>
        <v>0.2629822981167439</v>
      </c>
      <c r="T373" s="3">
        <f>IF(mlb_payrolls[[#This Row],[Total Payroll Allocations]]&gt;0,mlb_payrolls[[#This Row],[Retained]]/mlb_payrolls[[#This Row],[Total Payroll Allocations]])</f>
        <v>0.21962777246688167</v>
      </c>
      <c r="U373" s="3">
        <f>IF(mlb_payrolls[[#This Row],[Total Payroll Allocations]]&gt;0,mlb_payrolls[[#This Row],[Buried]]/mlb_payrolls[[#This Row],[Total Payroll Allocations]])</f>
        <v>8.8710463597089471E-3</v>
      </c>
      <c r="V373">
        <f>IF(mlb_payrolls[[#This Row],[Postseason]]="No Playoffs",0,1)</f>
        <v>0</v>
      </c>
    </row>
    <row r="374" spans="1:22" x14ac:dyDescent="0.3">
      <c r="A374" t="s">
        <v>69</v>
      </c>
      <c r="B374" t="s">
        <v>70</v>
      </c>
      <c r="C374">
        <v>2022</v>
      </c>
      <c r="D374">
        <v>29.6</v>
      </c>
      <c r="E374" s="1">
        <v>203205326</v>
      </c>
      <c r="F374" s="1">
        <v>154697729</v>
      </c>
      <c r="G374" s="1">
        <v>20008123</v>
      </c>
      <c r="H374" s="1">
        <v>25306501</v>
      </c>
      <c r="I374" s="1">
        <v>3192973</v>
      </c>
      <c r="J374">
        <v>81</v>
      </c>
      <c r="K374">
        <v>81</v>
      </c>
      <c r="L374" t="s">
        <v>14</v>
      </c>
      <c r="M374">
        <f>mlb_payrolls[[#This Row],[Wins]] + mlb_payrolls[[#This Row],[Losses]]</f>
        <v>162</v>
      </c>
      <c r="N374" s="2">
        <f>IF(mlb_payrolls[[#This Row],[Games]] &gt;0, mlb_payrolls[[#This Row],[Wins]]/mlb_payrolls[[#This Row],[Games]], "")</f>
        <v>0.5</v>
      </c>
      <c r="O374" s="1">
        <f>IFERROR(VALUE(mlb_payrolls[[#This Row],[Total Payroll Allocations]])/VALUE(mlb_payrolls[[#This Row],[Wins]]),"")</f>
        <v>2508707.7283950616</v>
      </c>
      <c r="P374" s="1">
        <f>SUM(mlb_payrolls[[#This Row],[Active 26-Man]],mlb_payrolls[[#This Row],[Injured]],mlb_payrolls[[#This Row],[Retained]],mlb_payrolls[[#This Row],[Buried]])</f>
        <v>203205326</v>
      </c>
      <c r="Q374" s="1">
        <f>mlb_payrolls[[#This Row],[Total Payroll Allocations]]-mlb_payrolls[[#This Row],[Payroll Parts Sum]]</f>
        <v>0</v>
      </c>
      <c r="R374" s="2">
        <f>IF(mlb_payrolls[[#This Row],[Total Payroll Allocations]]&gt;0, mlb_payrolls[[#This Row],[Active 26-Man]]/mlb_payrolls[[#This Row],[Total Payroll Allocations]],"")</f>
        <v>0.76128776762475214</v>
      </c>
      <c r="S374" s="2">
        <f>IF(mlb_payrolls[[#This Row],[Total Payroll Allocations]]&gt;0,mlb_payrolls[[#This Row],[Injured]]/mlb_payrolls[[#This Row],[Total Payroll Allocations]])</f>
        <v>9.8462591477548184E-2</v>
      </c>
      <c r="T374" s="3">
        <f>IF(mlb_payrolls[[#This Row],[Total Payroll Allocations]]&gt;0,mlb_payrolls[[#This Row],[Retained]]/mlb_payrolls[[#This Row],[Total Payroll Allocations]])</f>
        <v>0.12453660294317286</v>
      </c>
      <c r="U374" s="3">
        <f>IF(mlb_payrolls[[#This Row],[Total Payroll Allocations]]&gt;0,mlb_payrolls[[#This Row],[Buried]]/mlb_payrolls[[#This Row],[Total Payroll Allocations]])</f>
        <v>1.5713037954526842E-2</v>
      </c>
      <c r="V374">
        <f>IF(mlb_payrolls[[#This Row],[Postseason]]="No Playoffs",0,1)</f>
        <v>0</v>
      </c>
    </row>
    <row r="375" spans="1:22" x14ac:dyDescent="0.3">
      <c r="A375" t="s">
        <v>71</v>
      </c>
      <c r="B375" t="s">
        <v>72</v>
      </c>
      <c r="C375">
        <v>2021</v>
      </c>
      <c r="D375">
        <v>28.9</v>
      </c>
      <c r="E375" s="1">
        <v>203311013</v>
      </c>
      <c r="F375" s="1">
        <v>141518753</v>
      </c>
      <c r="G375" s="1">
        <v>48217362</v>
      </c>
      <c r="H375" s="1">
        <v>12129712</v>
      </c>
      <c r="I375" s="1">
        <v>1445186</v>
      </c>
      <c r="J375">
        <v>92</v>
      </c>
      <c r="K375">
        <v>70</v>
      </c>
      <c r="L375" t="s">
        <v>21</v>
      </c>
      <c r="M375">
        <f>mlb_payrolls[[#This Row],[Wins]] + mlb_payrolls[[#This Row],[Losses]]</f>
        <v>162</v>
      </c>
      <c r="N375" s="2">
        <f>IF(mlb_payrolls[[#This Row],[Games]] &gt;0, mlb_payrolls[[#This Row],[Wins]]/mlb_payrolls[[#This Row],[Games]], "")</f>
        <v>0.5679012345679012</v>
      </c>
      <c r="O375" s="1">
        <f>IFERROR(VALUE(mlb_payrolls[[#This Row],[Total Payroll Allocations]])/VALUE(mlb_payrolls[[#This Row],[Wins]]),"")</f>
        <v>2209902.3152173911</v>
      </c>
      <c r="P375" s="1">
        <f>SUM(mlb_payrolls[[#This Row],[Active 26-Man]],mlb_payrolls[[#This Row],[Injured]],mlb_payrolls[[#This Row],[Retained]],mlb_payrolls[[#This Row],[Buried]])</f>
        <v>203311013</v>
      </c>
      <c r="Q375" s="1">
        <f>mlb_payrolls[[#This Row],[Total Payroll Allocations]]-mlb_payrolls[[#This Row],[Payroll Parts Sum]]</f>
        <v>0</v>
      </c>
      <c r="R375" s="2">
        <f>IF(mlb_payrolls[[#This Row],[Total Payroll Allocations]]&gt;0, mlb_payrolls[[#This Row],[Active 26-Man]]/mlb_payrolls[[#This Row],[Total Payroll Allocations]],"")</f>
        <v>0.69607027633077601</v>
      </c>
      <c r="S375" s="2">
        <f>IF(mlb_payrolls[[#This Row],[Total Payroll Allocations]]&gt;0,mlb_payrolls[[#This Row],[Injured]]/mlb_payrolls[[#This Row],[Total Payroll Allocations]])</f>
        <v>0.23716060083769294</v>
      </c>
      <c r="T375" s="3">
        <f>IF(mlb_payrolls[[#This Row],[Total Payroll Allocations]]&gt;0,mlb_payrolls[[#This Row],[Retained]]/mlb_payrolls[[#This Row],[Total Payroll Allocations]])</f>
        <v>5.9660870412366694E-2</v>
      </c>
      <c r="U375" s="3">
        <f>IF(mlb_payrolls[[#This Row],[Total Payroll Allocations]]&gt;0,mlb_payrolls[[#This Row],[Buried]]/mlb_payrolls[[#This Row],[Total Payroll Allocations]])</f>
        <v>7.1082524191643272E-3</v>
      </c>
      <c r="V375">
        <f>IF(mlb_payrolls[[#This Row],[Postseason]]="No Playoffs",0,1)</f>
        <v>1</v>
      </c>
    </row>
    <row r="376" spans="1:22" x14ac:dyDescent="0.3">
      <c r="A376" t="s">
        <v>57</v>
      </c>
      <c r="B376" t="s">
        <v>58</v>
      </c>
      <c r="C376">
        <v>2023</v>
      </c>
      <c r="D376">
        <v>28.5</v>
      </c>
      <c r="E376" s="1">
        <v>204689131</v>
      </c>
      <c r="F376" s="1">
        <v>158186507</v>
      </c>
      <c r="G376" s="1">
        <v>34160535</v>
      </c>
      <c r="H376" s="1">
        <v>11447888</v>
      </c>
      <c r="I376" s="1">
        <v>894201</v>
      </c>
      <c r="J376">
        <v>104</v>
      </c>
      <c r="K376">
        <v>58</v>
      </c>
      <c r="L376" t="s">
        <v>24</v>
      </c>
      <c r="M376">
        <f>mlb_payrolls[[#This Row],[Wins]] + mlb_payrolls[[#This Row],[Losses]]</f>
        <v>162</v>
      </c>
      <c r="N376" s="2">
        <f>IF(mlb_payrolls[[#This Row],[Games]] &gt;0, mlb_payrolls[[#This Row],[Wins]]/mlb_payrolls[[#This Row],[Games]], "")</f>
        <v>0.64197530864197527</v>
      </c>
      <c r="O376" s="1">
        <f>IFERROR(VALUE(mlb_payrolls[[#This Row],[Total Payroll Allocations]])/VALUE(mlb_payrolls[[#This Row],[Wins]]),"")</f>
        <v>1968164.7211538462</v>
      </c>
      <c r="P376" s="1">
        <f>SUM(mlb_payrolls[[#This Row],[Active 26-Man]],mlb_payrolls[[#This Row],[Injured]],mlb_payrolls[[#This Row],[Retained]],mlb_payrolls[[#This Row],[Buried]])</f>
        <v>204689131</v>
      </c>
      <c r="Q376" s="1">
        <f>mlb_payrolls[[#This Row],[Total Payroll Allocations]]-mlb_payrolls[[#This Row],[Payroll Parts Sum]]</f>
        <v>0</v>
      </c>
      <c r="R376" s="2">
        <f>IF(mlb_payrolls[[#This Row],[Total Payroll Allocations]]&gt;0, mlb_payrolls[[#This Row],[Active 26-Man]]/mlb_payrolls[[#This Row],[Total Payroll Allocations]],"")</f>
        <v>0.77281341821711091</v>
      </c>
      <c r="S376" s="2">
        <f>IF(mlb_payrolls[[#This Row],[Total Payroll Allocations]]&gt;0,mlb_payrolls[[#This Row],[Injured]]/mlb_payrolls[[#This Row],[Total Payroll Allocations]])</f>
        <v>0.16688983353981801</v>
      </c>
      <c r="T376" s="3">
        <f>IF(mlb_payrolls[[#This Row],[Total Payroll Allocations]]&gt;0,mlb_payrolls[[#This Row],[Retained]]/mlb_payrolls[[#This Row],[Total Payroll Allocations]])</f>
        <v>5.5928167480470664E-2</v>
      </c>
      <c r="U376" s="3">
        <f>IF(mlb_payrolls[[#This Row],[Total Payroll Allocations]]&gt;0,mlb_payrolls[[#This Row],[Buried]]/mlb_payrolls[[#This Row],[Total Payroll Allocations]])</f>
        <v>4.3685807626004337E-3</v>
      </c>
      <c r="V376">
        <f>IF(mlb_payrolls[[#This Row],[Postseason]]="No Playoffs",0,1)</f>
        <v>1</v>
      </c>
    </row>
    <row r="377" spans="1:22" x14ac:dyDescent="0.3">
      <c r="A377" t="s">
        <v>53</v>
      </c>
      <c r="B377" t="s">
        <v>54</v>
      </c>
      <c r="C377">
        <v>2018</v>
      </c>
      <c r="D377">
        <v>28.4</v>
      </c>
      <c r="E377" s="1">
        <v>205665348</v>
      </c>
      <c r="F377" s="1">
        <v>119689218</v>
      </c>
      <c r="G377" s="1">
        <v>64341827</v>
      </c>
      <c r="H377" s="1">
        <v>21136053</v>
      </c>
      <c r="I377" s="1">
        <v>498250</v>
      </c>
      <c r="J377">
        <v>73</v>
      </c>
      <c r="K377">
        <v>89</v>
      </c>
      <c r="L377" t="s">
        <v>14</v>
      </c>
      <c r="M377">
        <f>mlb_payrolls[[#This Row],[Wins]] + mlb_payrolls[[#This Row],[Losses]]</f>
        <v>162</v>
      </c>
      <c r="N377" s="2">
        <f>IF(mlb_payrolls[[#This Row],[Games]] &gt;0, mlb_payrolls[[#This Row],[Wins]]/mlb_payrolls[[#This Row],[Games]], "")</f>
        <v>0.45061728395061729</v>
      </c>
      <c r="O377" s="1">
        <f>IFERROR(VALUE(mlb_payrolls[[#This Row],[Total Payroll Allocations]])/VALUE(mlb_payrolls[[#This Row],[Wins]]),"")</f>
        <v>2817333.5342465756</v>
      </c>
      <c r="P377" s="1">
        <f>SUM(mlb_payrolls[[#This Row],[Active 26-Man]],mlb_payrolls[[#This Row],[Injured]],mlb_payrolls[[#This Row],[Retained]],mlb_payrolls[[#This Row],[Buried]])</f>
        <v>205665348</v>
      </c>
      <c r="Q377" s="1">
        <f>mlb_payrolls[[#This Row],[Total Payroll Allocations]]-mlb_payrolls[[#This Row],[Payroll Parts Sum]]</f>
        <v>0</v>
      </c>
      <c r="R377" s="2">
        <f>IF(mlb_payrolls[[#This Row],[Total Payroll Allocations]]&gt;0, mlb_payrolls[[#This Row],[Active 26-Man]]/mlb_payrolls[[#This Row],[Total Payroll Allocations]],"")</f>
        <v>0.58196103117964237</v>
      </c>
      <c r="S377" s="2">
        <f>IF(mlb_payrolls[[#This Row],[Total Payroll Allocations]]&gt;0,mlb_payrolls[[#This Row],[Injured]]/mlb_payrolls[[#This Row],[Total Payroll Allocations]])</f>
        <v>0.31284719387925281</v>
      </c>
      <c r="T377" s="3">
        <f>IF(mlb_payrolls[[#This Row],[Total Payroll Allocations]]&gt;0,mlb_payrolls[[#This Row],[Retained]]/mlb_payrolls[[#This Row],[Total Payroll Allocations]])</f>
        <v>0.10276915000771059</v>
      </c>
      <c r="U377" s="3">
        <f>IF(mlb_payrolls[[#This Row],[Total Payroll Allocations]]&gt;0,mlb_payrolls[[#This Row],[Buried]]/mlb_payrolls[[#This Row],[Total Payroll Allocations]])</f>
        <v>2.4226249333942243E-3</v>
      </c>
      <c r="V377">
        <f>IF(mlb_payrolls[[#This Row],[Postseason]]="No Playoffs",0,1)</f>
        <v>0</v>
      </c>
    </row>
    <row r="378" spans="1:22" x14ac:dyDescent="0.3">
      <c r="A378" t="s">
        <v>51</v>
      </c>
      <c r="B378" t="s">
        <v>52</v>
      </c>
      <c r="C378">
        <v>2019</v>
      </c>
      <c r="D378">
        <v>28.3</v>
      </c>
      <c r="E378" s="1">
        <v>207000814</v>
      </c>
      <c r="F378" s="1">
        <v>157394622</v>
      </c>
      <c r="G378" s="1">
        <v>1341835</v>
      </c>
      <c r="H378" s="1">
        <v>41972880</v>
      </c>
      <c r="I378" s="1">
        <v>5736477</v>
      </c>
      <c r="J378">
        <v>106</v>
      </c>
      <c r="K378">
        <v>56</v>
      </c>
      <c r="L378" t="s">
        <v>24</v>
      </c>
      <c r="M378">
        <f>mlb_payrolls[[#This Row],[Wins]] + mlb_payrolls[[#This Row],[Losses]]</f>
        <v>162</v>
      </c>
      <c r="N378" s="2">
        <f>IF(mlb_payrolls[[#This Row],[Games]] &gt;0, mlb_payrolls[[#This Row],[Wins]]/mlb_payrolls[[#This Row],[Games]], "")</f>
        <v>0.65432098765432101</v>
      </c>
      <c r="O378" s="1">
        <f>IFERROR(VALUE(mlb_payrolls[[#This Row],[Total Payroll Allocations]])/VALUE(mlb_payrolls[[#This Row],[Wins]]),"")</f>
        <v>1952837.8679245282</v>
      </c>
      <c r="P378" s="1">
        <f>SUM(mlb_payrolls[[#This Row],[Active 26-Man]],mlb_payrolls[[#This Row],[Injured]],mlb_payrolls[[#This Row],[Retained]],mlb_payrolls[[#This Row],[Buried]])</f>
        <v>206445814</v>
      </c>
      <c r="Q378" s="1">
        <f>mlb_payrolls[[#This Row],[Total Payroll Allocations]]-mlb_payrolls[[#This Row],[Payroll Parts Sum]]</f>
        <v>555000</v>
      </c>
      <c r="R378" s="2">
        <f>IF(mlb_payrolls[[#This Row],[Total Payroll Allocations]]&gt;0, mlb_payrolls[[#This Row],[Active 26-Man]]/mlb_payrolls[[#This Row],[Total Payroll Allocations]],"")</f>
        <v>0.76035750274875735</v>
      </c>
      <c r="S378" s="2">
        <f>IF(mlb_payrolls[[#This Row],[Total Payroll Allocations]]&gt;0,mlb_payrolls[[#This Row],[Injured]]/mlb_payrolls[[#This Row],[Total Payroll Allocations]])</f>
        <v>6.4822691953278985E-3</v>
      </c>
      <c r="T378" s="3">
        <f>IF(mlb_payrolls[[#This Row],[Total Payroll Allocations]]&gt;0,mlb_payrolls[[#This Row],[Retained]]/mlb_payrolls[[#This Row],[Total Payroll Allocations]])</f>
        <v>0.20276673887862104</v>
      </c>
      <c r="U378" s="3">
        <f>IF(mlb_payrolls[[#This Row],[Total Payroll Allocations]]&gt;0,mlb_payrolls[[#This Row],[Buried]]/mlb_payrolls[[#This Row],[Total Payroll Allocations]])</f>
        <v>2.7712340300265679E-2</v>
      </c>
      <c r="V378">
        <f>IF(mlb_payrolls[[#This Row],[Postseason]]="No Playoffs",0,1)</f>
        <v>1</v>
      </c>
    </row>
    <row r="379" spans="1:22" x14ac:dyDescent="0.3">
      <c r="A379" t="s">
        <v>47</v>
      </c>
      <c r="B379" t="s">
        <v>48</v>
      </c>
      <c r="C379">
        <v>2016</v>
      </c>
      <c r="D379">
        <v>28.5</v>
      </c>
      <c r="E379" s="1">
        <v>207758836</v>
      </c>
      <c r="F379" s="1">
        <v>165121274</v>
      </c>
      <c r="G379" s="1">
        <v>19567513</v>
      </c>
      <c r="H379" s="1">
        <v>2194948</v>
      </c>
      <c r="I379" s="1">
        <v>20875101</v>
      </c>
      <c r="J379">
        <v>93</v>
      </c>
      <c r="K379">
        <v>69</v>
      </c>
      <c r="L379" t="s">
        <v>24</v>
      </c>
      <c r="M379">
        <f>mlb_payrolls[[#This Row],[Wins]] + mlb_payrolls[[#This Row],[Losses]]</f>
        <v>162</v>
      </c>
      <c r="N379" s="2">
        <f>IF(mlb_payrolls[[#This Row],[Games]] &gt;0, mlb_payrolls[[#This Row],[Wins]]/mlb_payrolls[[#This Row],[Games]], "")</f>
        <v>0.57407407407407407</v>
      </c>
      <c r="O379" s="1">
        <f>IFERROR(VALUE(mlb_payrolls[[#This Row],[Total Payroll Allocations]])/VALUE(mlb_payrolls[[#This Row],[Wins]]),"")</f>
        <v>2233965.9784946237</v>
      </c>
      <c r="P379" s="1">
        <f>SUM(mlb_payrolls[[#This Row],[Active 26-Man]],mlb_payrolls[[#This Row],[Injured]],mlb_payrolls[[#This Row],[Retained]],mlb_payrolls[[#This Row],[Buried]])</f>
        <v>207758836</v>
      </c>
      <c r="Q379" s="1">
        <f>mlb_payrolls[[#This Row],[Total Payroll Allocations]]-mlb_payrolls[[#This Row],[Payroll Parts Sum]]</f>
        <v>0</v>
      </c>
      <c r="R379" s="2">
        <f>IF(mlb_payrolls[[#This Row],[Total Payroll Allocations]]&gt;0, mlb_payrolls[[#This Row],[Active 26-Man]]/mlb_payrolls[[#This Row],[Total Payroll Allocations]],"")</f>
        <v>0.79477377318382747</v>
      </c>
      <c r="S379" s="2">
        <f>IF(mlb_payrolls[[#This Row],[Total Payroll Allocations]]&gt;0,mlb_payrolls[[#This Row],[Injured]]/mlb_payrolls[[#This Row],[Total Payroll Allocations]])</f>
        <v>9.4183782392773904E-2</v>
      </c>
      <c r="T379" s="3">
        <f>IF(mlb_payrolls[[#This Row],[Total Payroll Allocations]]&gt;0,mlb_payrolls[[#This Row],[Retained]]/mlb_payrolls[[#This Row],[Total Payroll Allocations]])</f>
        <v>1.0564883988857158E-2</v>
      </c>
      <c r="U379" s="3">
        <f>IF(mlb_payrolls[[#This Row],[Total Payroll Allocations]]&gt;0,mlb_payrolls[[#This Row],[Buried]]/mlb_payrolls[[#This Row],[Total Payroll Allocations]])</f>
        <v>0.10047756043454152</v>
      </c>
      <c r="V379">
        <f>IF(mlb_payrolls[[#This Row],[Postseason]]="No Playoffs",0,1)</f>
        <v>1</v>
      </c>
    </row>
    <row r="380" spans="1:22" x14ac:dyDescent="0.3">
      <c r="A380" t="s">
        <v>71</v>
      </c>
      <c r="B380" t="s">
        <v>72</v>
      </c>
      <c r="C380">
        <v>2017</v>
      </c>
      <c r="D380">
        <v>27.4</v>
      </c>
      <c r="E380" s="1">
        <v>209044502</v>
      </c>
      <c r="F380" s="1">
        <v>161826896</v>
      </c>
      <c r="G380" s="1">
        <v>7867680</v>
      </c>
      <c r="H380" s="1">
        <v>36170687</v>
      </c>
      <c r="I380" s="1">
        <v>179239</v>
      </c>
      <c r="J380">
        <v>91</v>
      </c>
      <c r="K380">
        <v>71</v>
      </c>
      <c r="L380" t="s">
        <v>21</v>
      </c>
      <c r="M380">
        <f>mlb_payrolls[[#This Row],[Wins]] + mlb_payrolls[[#This Row],[Losses]]</f>
        <v>162</v>
      </c>
      <c r="N380" s="2">
        <f>IF(mlb_payrolls[[#This Row],[Games]] &gt;0, mlb_payrolls[[#This Row],[Wins]]/mlb_payrolls[[#This Row],[Games]], "")</f>
        <v>0.56172839506172845</v>
      </c>
      <c r="O380" s="1">
        <f>IFERROR(VALUE(mlb_payrolls[[#This Row],[Total Payroll Allocations]])/VALUE(mlb_payrolls[[#This Row],[Wins]]),"")</f>
        <v>2297192.3296703296</v>
      </c>
      <c r="P380" s="1">
        <f>SUM(mlb_payrolls[[#This Row],[Active 26-Man]],mlb_payrolls[[#This Row],[Injured]],mlb_payrolls[[#This Row],[Retained]],mlb_payrolls[[#This Row],[Buried]])</f>
        <v>206044502</v>
      </c>
      <c r="Q380" s="1">
        <f>mlb_payrolls[[#This Row],[Total Payroll Allocations]]-mlb_payrolls[[#This Row],[Payroll Parts Sum]]</f>
        <v>3000000</v>
      </c>
      <c r="R380" s="2">
        <f>IF(mlb_payrolls[[#This Row],[Total Payroll Allocations]]&gt;0, mlb_payrolls[[#This Row],[Active 26-Man]]/mlb_payrolls[[#This Row],[Total Payroll Allocations]],"")</f>
        <v>0.77412653502841222</v>
      </c>
      <c r="S380" s="2">
        <f>IF(mlb_payrolls[[#This Row],[Total Payroll Allocations]]&gt;0,mlb_payrolls[[#This Row],[Injured]]/mlb_payrolls[[#This Row],[Total Payroll Allocations]])</f>
        <v>3.7636388064394059E-2</v>
      </c>
      <c r="T380" s="3">
        <f>IF(mlb_payrolls[[#This Row],[Total Payroll Allocations]]&gt;0,mlb_payrolls[[#This Row],[Retained]]/mlb_payrolls[[#This Row],[Total Payroll Allocations]])</f>
        <v>0.1730286453551407</v>
      </c>
      <c r="U380" s="3">
        <f>IF(mlb_payrolls[[#This Row],[Total Payroll Allocations]]&gt;0,mlb_payrolls[[#This Row],[Buried]]/mlb_payrolls[[#This Row],[Total Payroll Allocations]])</f>
        <v>8.5742030182645035E-4</v>
      </c>
      <c r="V380">
        <f>IF(mlb_payrolls[[#This Row],[Postseason]]="No Playoffs",0,1)</f>
        <v>1</v>
      </c>
    </row>
    <row r="381" spans="1:22" x14ac:dyDescent="0.3">
      <c r="A381" t="s">
        <v>47</v>
      </c>
      <c r="B381" t="s">
        <v>48</v>
      </c>
      <c r="C381">
        <v>2017</v>
      </c>
      <c r="D381">
        <v>28.1</v>
      </c>
      <c r="E381" s="1">
        <v>209872508</v>
      </c>
      <c r="F381" s="1">
        <v>172158546</v>
      </c>
      <c r="G381" s="1">
        <v>5941108</v>
      </c>
      <c r="H381" s="1">
        <v>30597474</v>
      </c>
      <c r="I381" s="1">
        <v>1175380</v>
      </c>
      <c r="J381">
        <v>93</v>
      </c>
      <c r="K381">
        <v>69</v>
      </c>
      <c r="L381" t="s">
        <v>24</v>
      </c>
      <c r="M381">
        <f>mlb_payrolls[[#This Row],[Wins]] + mlb_payrolls[[#This Row],[Losses]]</f>
        <v>162</v>
      </c>
      <c r="N381" s="2">
        <f>IF(mlb_payrolls[[#This Row],[Games]] &gt;0, mlb_payrolls[[#This Row],[Wins]]/mlb_payrolls[[#This Row],[Games]], "")</f>
        <v>0.57407407407407407</v>
      </c>
      <c r="O381" s="1">
        <f>IFERROR(VALUE(mlb_payrolls[[#This Row],[Total Payroll Allocations]])/VALUE(mlb_payrolls[[#This Row],[Wins]]),"")</f>
        <v>2256693.634408602</v>
      </c>
      <c r="P381" s="1">
        <f>SUM(mlb_payrolls[[#This Row],[Active 26-Man]],mlb_payrolls[[#This Row],[Injured]],mlb_payrolls[[#This Row],[Retained]],mlb_payrolls[[#This Row],[Buried]])</f>
        <v>209872508</v>
      </c>
      <c r="Q381" s="1">
        <f>mlb_payrolls[[#This Row],[Total Payroll Allocations]]-mlb_payrolls[[#This Row],[Payroll Parts Sum]]</f>
        <v>0</v>
      </c>
      <c r="R381" s="2">
        <f>IF(mlb_payrolls[[#This Row],[Total Payroll Allocations]]&gt;0, mlb_payrolls[[#This Row],[Active 26-Man]]/mlb_payrolls[[#This Row],[Total Payroll Allocations]],"")</f>
        <v>0.82030060840555641</v>
      </c>
      <c r="S381" s="2">
        <f>IF(mlb_payrolls[[#This Row],[Total Payroll Allocations]]&gt;0,mlb_payrolls[[#This Row],[Injured]]/mlb_payrolls[[#This Row],[Total Payroll Allocations]])</f>
        <v>2.830817650494747E-2</v>
      </c>
      <c r="T381" s="3">
        <f>IF(mlb_payrolls[[#This Row],[Total Payroll Allocations]]&gt;0,mlb_payrolls[[#This Row],[Retained]]/mlb_payrolls[[#This Row],[Total Payroll Allocations]])</f>
        <v>0.1457907674119947</v>
      </c>
      <c r="U381" s="3">
        <f>IF(mlb_payrolls[[#This Row],[Total Payroll Allocations]]&gt;0,mlb_payrolls[[#This Row],[Buried]]/mlb_payrolls[[#This Row],[Total Payroll Allocations]])</f>
        <v>5.6004476775014288E-3</v>
      </c>
      <c r="V381">
        <f>IF(mlb_payrolls[[#This Row],[Postseason]]="No Playoffs",0,1)</f>
        <v>1</v>
      </c>
    </row>
    <row r="382" spans="1:22" x14ac:dyDescent="0.3">
      <c r="A382" t="s">
        <v>71</v>
      </c>
      <c r="B382" t="s">
        <v>72</v>
      </c>
      <c r="C382">
        <v>2011</v>
      </c>
      <c r="D382">
        <v>29.5</v>
      </c>
      <c r="E382" s="1">
        <v>210950685</v>
      </c>
      <c r="F382" s="1">
        <v>210950685</v>
      </c>
      <c r="G382" s="1">
        <v>0</v>
      </c>
      <c r="H382" s="1">
        <v>0</v>
      </c>
      <c r="I382" s="1">
        <v>0</v>
      </c>
      <c r="J382">
        <v>97</v>
      </c>
      <c r="K382">
        <v>65</v>
      </c>
      <c r="L382" t="s">
        <v>24</v>
      </c>
      <c r="M382">
        <f>mlb_payrolls[[#This Row],[Wins]] + mlb_payrolls[[#This Row],[Losses]]</f>
        <v>162</v>
      </c>
      <c r="N382" s="2">
        <f>IF(mlb_payrolls[[#This Row],[Games]] &gt;0, mlb_payrolls[[#This Row],[Wins]]/mlb_payrolls[[#This Row],[Games]], "")</f>
        <v>0.59876543209876543</v>
      </c>
      <c r="O382" s="1">
        <f>IFERROR(VALUE(mlb_payrolls[[#This Row],[Total Payroll Allocations]])/VALUE(mlb_payrolls[[#This Row],[Wins]]),"")</f>
        <v>2174749.3298969073</v>
      </c>
      <c r="P382" s="1">
        <f>SUM(mlb_payrolls[[#This Row],[Active 26-Man]],mlb_payrolls[[#This Row],[Injured]],mlb_payrolls[[#This Row],[Retained]],mlb_payrolls[[#This Row],[Buried]])</f>
        <v>210950685</v>
      </c>
      <c r="Q382" s="1">
        <f>mlb_payrolls[[#This Row],[Total Payroll Allocations]]-mlb_payrolls[[#This Row],[Payroll Parts Sum]]</f>
        <v>0</v>
      </c>
      <c r="R382" s="2">
        <f>IF(mlb_payrolls[[#This Row],[Total Payroll Allocations]]&gt;0, mlb_payrolls[[#This Row],[Active 26-Man]]/mlb_payrolls[[#This Row],[Total Payroll Allocations]],"")</f>
        <v>1</v>
      </c>
      <c r="S382" s="2">
        <f>IF(mlb_payrolls[[#This Row],[Total Payroll Allocations]]&gt;0,mlb_payrolls[[#This Row],[Injured]]/mlb_payrolls[[#This Row],[Total Payroll Allocations]])</f>
        <v>0</v>
      </c>
      <c r="T382" s="3">
        <f>IF(mlb_payrolls[[#This Row],[Total Payroll Allocations]]&gt;0,mlb_payrolls[[#This Row],[Retained]]/mlb_payrolls[[#This Row],[Total Payroll Allocations]])</f>
        <v>0</v>
      </c>
      <c r="U382" s="3">
        <f>IF(mlb_payrolls[[#This Row],[Total Payroll Allocations]]&gt;0,mlb_payrolls[[#This Row],[Buried]]/mlb_payrolls[[#This Row],[Total Payroll Allocations]])</f>
        <v>0</v>
      </c>
      <c r="V382">
        <f>IF(mlb_payrolls[[#This Row],[Postseason]]="No Playoffs",0,1)</f>
        <v>1</v>
      </c>
    </row>
    <row r="383" spans="1:22" x14ac:dyDescent="0.3">
      <c r="A383" t="s">
        <v>47</v>
      </c>
      <c r="B383" t="s">
        <v>48</v>
      </c>
      <c r="C383">
        <v>2022</v>
      </c>
      <c r="D383">
        <v>28.8</v>
      </c>
      <c r="E383" s="1">
        <v>211812131</v>
      </c>
      <c r="F383" s="1">
        <v>109769156</v>
      </c>
      <c r="G383" s="1">
        <v>50192677</v>
      </c>
      <c r="H383" s="1">
        <v>48696520</v>
      </c>
      <c r="I383" s="1">
        <v>3153778</v>
      </c>
      <c r="J383">
        <v>78</v>
      </c>
      <c r="K383">
        <v>84</v>
      </c>
      <c r="L383" t="s">
        <v>14</v>
      </c>
      <c r="M383">
        <f>mlb_payrolls[[#This Row],[Wins]] + mlb_payrolls[[#This Row],[Losses]]</f>
        <v>162</v>
      </c>
      <c r="N383" s="2">
        <f>IF(mlb_payrolls[[#This Row],[Games]] &gt;0, mlb_payrolls[[#This Row],[Wins]]/mlb_payrolls[[#This Row],[Games]], "")</f>
        <v>0.48148148148148145</v>
      </c>
      <c r="O383" s="1">
        <f>IFERROR(VALUE(mlb_payrolls[[#This Row],[Total Payroll Allocations]])/VALUE(mlb_payrolls[[#This Row],[Wins]]),"")</f>
        <v>2715540.141025641</v>
      </c>
      <c r="P383" s="1">
        <f>SUM(mlb_payrolls[[#This Row],[Active 26-Man]],mlb_payrolls[[#This Row],[Injured]],mlb_payrolls[[#This Row],[Retained]],mlb_payrolls[[#This Row],[Buried]])</f>
        <v>211812131</v>
      </c>
      <c r="Q383" s="1">
        <f>mlb_payrolls[[#This Row],[Total Payroll Allocations]]-mlb_payrolls[[#This Row],[Payroll Parts Sum]]</f>
        <v>0</v>
      </c>
      <c r="R383" s="2">
        <f>IF(mlb_payrolls[[#This Row],[Total Payroll Allocations]]&gt;0, mlb_payrolls[[#This Row],[Active 26-Man]]/mlb_payrolls[[#This Row],[Total Payroll Allocations]],"")</f>
        <v>0.51823828730565014</v>
      </c>
      <c r="S383" s="2">
        <f>IF(mlb_payrolls[[#This Row],[Total Payroll Allocations]]&gt;0,mlb_payrolls[[#This Row],[Injured]]/mlb_payrolls[[#This Row],[Total Payroll Allocations]])</f>
        <v>0.23696790529905956</v>
      </c>
      <c r="T383" s="3">
        <f>IF(mlb_payrolls[[#This Row],[Total Payroll Allocations]]&gt;0,mlb_payrolls[[#This Row],[Retained]]/mlb_payrolls[[#This Row],[Total Payroll Allocations]])</f>
        <v>0.22990430137356013</v>
      </c>
      <c r="U383" s="3">
        <f>IF(mlb_payrolls[[#This Row],[Total Payroll Allocations]]&gt;0,mlb_payrolls[[#This Row],[Buried]]/mlb_payrolls[[#This Row],[Total Payroll Allocations]])</f>
        <v>1.4889506021730172E-2</v>
      </c>
      <c r="V383">
        <f>IF(mlb_payrolls[[#This Row],[Postseason]]="No Playoffs",0,1)</f>
        <v>0</v>
      </c>
    </row>
    <row r="384" spans="1:22" x14ac:dyDescent="0.3">
      <c r="A384" t="s">
        <v>71</v>
      </c>
      <c r="B384" t="s">
        <v>72</v>
      </c>
      <c r="C384">
        <v>2014</v>
      </c>
      <c r="D384">
        <v>29.5</v>
      </c>
      <c r="E384" s="1">
        <v>212512317</v>
      </c>
      <c r="F384" s="1">
        <v>196734750</v>
      </c>
      <c r="G384" s="1">
        <v>0</v>
      </c>
      <c r="H384" s="1">
        <v>15663048</v>
      </c>
      <c r="I384" s="1">
        <v>114519</v>
      </c>
      <c r="J384">
        <v>84</v>
      </c>
      <c r="K384">
        <v>78</v>
      </c>
      <c r="L384" t="s">
        <v>14</v>
      </c>
      <c r="M384">
        <f>mlb_payrolls[[#This Row],[Wins]] + mlb_payrolls[[#This Row],[Losses]]</f>
        <v>162</v>
      </c>
      <c r="N384" s="2">
        <f>IF(mlb_payrolls[[#This Row],[Games]] &gt;0, mlb_payrolls[[#This Row],[Wins]]/mlb_payrolls[[#This Row],[Games]], "")</f>
        <v>0.51851851851851849</v>
      </c>
      <c r="O384" s="1">
        <f>IFERROR(VALUE(mlb_payrolls[[#This Row],[Total Payroll Allocations]])/VALUE(mlb_payrolls[[#This Row],[Wins]]),"")</f>
        <v>2529908.5357142859</v>
      </c>
      <c r="P384" s="1">
        <f>SUM(mlb_payrolls[[#This Row],[Active 26-Man]],mlb_payrolls[[#This Row],[Injured]],mlb_payrolls[[#This Row],[Retained]],mlb_payrolls[[#This Row],[Buried]])</f>
        <v>212512317</v>
      </c>
      <c r="Q384" s="1">
        <f>mlb_payrolls[[#This Row],[Total Payroll Allocations]]-mlb_payrolls[[#This Row],[Payroll Parts Sum]]</f>
        <v>0</v>
      </c>
      <c r="R384" s="2">
        <f>IF(mlb_payrolls[[#This Row],[Total Payroll Allocations]]&gt;0, mlb_payrolls[[#This Row],[Active 26-Man]]/mlb_payrolls[[#This Row],[Total Payroll Allocations]],"")</f>
        <v>0.92575692918542696</v>
      </c>
      <c r="S384" s="2">
        <f>IF(mlb_payrolls[[#This Row],[Total Payroll Allocations]]&gt;0,mlb_payrolls[[#This Row],[Injured]]/mlb_payrolls[[#This Row],[Total Payroll Allocations]])</f>
        <v>0</v>
      </c>
      <c r="T384" s="3">
        <f>IF(mlb_payrolls[[#This Row],[Total Payroll Allocations]]&gt;0,mlb_payrolls[[#This Row],[Retained]]/mlb_payrolls[[#This Row],[Total Payroll Allocations]])</f>
        <v>7.3704189108248247E-2</v>
      </c>
      <c r="U384" s="3">
        <f>IF(mlb_payrolls[[#This Row],[Total Payroll Allocations]]&gt;0,mlb_payrolls[[#This Row],[Buried]]/mlb_payrolls[[#This Row],[Total Payroll Allocations]])</f>
        <v>5.3888170632481499E-4</v>
      </c>
      <c r="V384">
        <f>IF(mlb_payrolls[[#This Row],[Postseason]]="No Playoffs",0,1)</f>
        <v>0</v>
      </c>
    </row>
    <row r="385" spans="1:22" x14ac:dyDescent="0.3">
      <c r="A385" t="s">
        <v>67</v>
      </c>
      <c r="B385" t="s">
        <v>68</v>
      </c>
      <c r="C385">
        <v>2023</v>
      </c>
      <c r="D385">
        <v>29.6</v>
      </c>
      <c r="E385" s="1">
        <v>214630885</v>
      </c>
      <c r="F385" s="1">
        <v>194200854</v>
      </c>
      <c r="G385" s="1">
        <v>6851292</v>
      </c>
      <c r="H385" s="1">
        <v>9776101</v>
      </c>
      <c r="I385" s="1">
        <v>3802638</v>
      </c>
      <c r="J385">
        <v>89</v>
      </c>
      <c r="K385">
        <v>73</v>
      </c>
      <c r="L385" t="s">
        <v>21</v>
      </c>
      <c r="M385">
        <f>mlb_payrolls[[#This Row],[Wins]] + mlb_payrolls[[#This Row],[Losses]]</f>
        <v>162</v>
      </c>
      <c r="N385" s="2">
        <f>IF(mlb_payrolls[[#This Row],[Games]] &gt;0, mlb_payrolls[[#This Row],[Wins]]/mlb_payrolls[[#This Row],[Games]], "")</f>
        <v>0.54938271604938271</v>
      </c>
      <c r="O385" s="1">
        <f>IFERROR(VALUE(mlb_payrolls[[#This Row],[Total Payroll Allocations]])/VALUE(mlb_payrolls[[#This Row],[Wins]]),"")</f>
        <v>2411582.9775280897</v>
      </c>
      <c r="P385" s="1">
        <f>SUM(mlb_payrolls[[#This Row],[Active 26-Man]],mlb_payrolls[[#This Row],[Injured]],mlb_payrolls[[#This Row],[Retained]],mlb_payrolls[[#This Row],[Buried]])</f>
        <v>214630885</v>
      </c>
      <c r="Q385" s="1">
        <f>mlb_payrolls[[#This Row],[Total Payroll Allocations]]-mlb_payrolls[[#This Row],[Payroll Parts Sum]]</f>
        <v>0</v>
      </c>
      <c r="R385" s="2">
        <f>IF(mlb_payrolls[[#This Row],[Total Payroll Allocations]]&gt;0, mlb_payrolls[[#This Row],[Active 26-Man]]/mlb_payrolls[[#This Row],[Total Payroll Allocations]],"")</f>
        <v>0.90481318194257088</v>
      </c>
      <c r="S385" s="2">
        <f>IF(mlb_payrolls[[#This Row],[Total Payroll Allocations]]&gt;0,mlb_payrolls[[#This Row],[Injured]]/mlb_payrolls[[#This Row],[Total Payroll Allocations]])</f>
        <v>3.1921277312908627E-2</v>
      </c>
      <c r="T385" s="3">
        <f>IF(mlb_payrolls[[#This Row],[Total Payroll Allocations]]&gt;0,mlb_payrolls[[#This Row],[Retained]]/mlb_payrolls[[#This Row],[Total Payroll Allocations]])</f>
        <v>4.5548435398754472E-2</v>
      </c>
      <c r="U385" s="3">
        <f>IF(mlb_payrolls[[#This Row],[Total Payroll Allocations]]&gt;0,mlb_payrolls[[#This Row],[Buried]]/mlb_payrolls[[#This Row],[Total Payroll Allocations]])</f>
        <v>1.7717105345766058E-2</v>
      </c>
      <c r="V385">
        <f>IF(mlb_payrolls[[#This Row],[Postseason]]="No Playoffs",0,1)</f>
        <v>1</v>
      </c>
    </row>
    <row r="386" spans="1:22" x14ac:dyDescent="0.3">
      <c r="A386" t="s">
        <v>67</v>
      </c>
      <c r="B386" t="s">
        <v>68</v>
      </c>
      <c r="C386">
        <v>2024</v>
      </c>
      <c r="D386">
        <v>27.9</v>
      </c>
      <c r="E386" s="1">
        <v>218402819</v>
      </c>
      <c r="F386" s="1">
        <v>132130693</v>
      </c>
      <c r="G386" s="1">
        <v>26456777</v>
      </c>
      <c r="H386" s="1">
        <v>54615363</v>
      </c>
      <c r="I386" s="1">
        <v>5199986</v>
      </c>
      <c r="J386">
        <v>74</v>
      </c>
      <c r="K386">
        <v>88</v>
      </c>
      <c r="L386" t="s">
        <v>14</v>
      </c>
      <c r="M386">
        <f>mlb_payrolls[[#This Row],[Wins]] + mlb_payrolls[[#This Row],[Losses]]</f>
        <v>162</v>
      </c>
      <c r="N386" s="2">
        <f>IF(mlb_payrolls[[#This Row],[Games]] &gt;0, mlb_payrolls[[#This Row],[Wins]]/mlb_payrolls[[#This Row],[Games]], "")</f>
        <v>0.4567901234567901</v>
      </c>
      <c r="O386" s="1">
        <f>IFERROR(VALUE(mlb_payrolls[[#This Row],[Total Payroll Allocations]])/VALUE(mlb_payrolls[[#This Row],[Wins]]),"")</f>
        <v>2951389.445945946</v>
      </c>
      <c r="P386" s="1">
        <f>SUM(mlb_payrolls[[#This Row],[Active 26-Man]],mlb_payrolls[[#This Row],[Injured]],mlb_payrolls[[#This Row],[Retained]],mlb_payrolls[[#This Row],[Buried]])</f>
        <v>218402819</v>
      </c>
      <c r="Q386" s="1">
        <f>mlb_payrolls[[#This Row],[Total Payroll Allocations]]-mlb_payrolls[[#This Row],[Payroll Parts Sum]]</f>
        <v>0</v>
      </c>
      <c r="R386" s="2">
        <f>IF(mlb_payrolls[[#This Row],[Total Payroll Allocations]]&gt;0, mlb_payrolls[[#This Row],[Active 26-Man]]/mlb_payrolls[[#This Row],[Total Payroll Allocations]],"")</f>
        <v>0.60498620670276237</v>
      </c>
      <c r="S386" s="2">
        <f>IF(mlb_payrolls[[#This Row],[Total Payroll Allocations]]&gt;0,mlb_payrolls[[#This Row],[Injured]]/mlb_payrolls[[#This Row],[Total Payroll Allocations]])</f>
        <v>0.12113752524412243</v>
      </c>
      <c r="T386" s="3">
        <f>IF(mlb_payrolls[[#This Row],[Total Payroll Allocations]]&gt;0,mlb_payrolls[[#This Row],[Retained]]/mlb_payrolls[[#This Row],[Total Payroll Allocations]])</f>
        <v>0.25006711566300799</v>
      </c>
      <c r="U386" s="3">
        <f>IF(mlb_payrolls[[#This Row],[Total Payroll Allocations]]&gt;0,mlb_payrolls[[#This Row],[Buried]]/mlb_payrolls[[#This Row],[Total Payroll Allocations]])</f>
        <v>2.38091523901072E-2</v>
      </c>
      <c r="V386">
        <f>IF(mlb_payrolls[[#This Row],[Postseason]]="No Playoffs",0,1)</f>
        <v>0</v>
      </c>
    </row>
    <row r="387" spans="1:22" x14ac:dyDescent="0.3">
      <c r="A387" t="s">
        <v>71</v>
      </c>
      <c r="B387" t="s">
        <v>72</v>
      </c>
      <c r="C387">
        <v>2016</v>
      </c>
      <c r="D387">
        <v>27.6</v>
      </c>
      <c r="E387" s="1">
        <v>220743376</v>
      </c>
      <c r="F387" s="1">
        <v>159213515</v>
      </c>
      <c r="G387" s="1">
        <v>10509409</v>
      </c>
      <c r="H387" s="1">
        <v>50238466</v>
      </c>
      <c r="I387" s="1">
        <v>781986</v>
      </c>
      <c r="J387">
        <v>84</v>
      </c>
      <c r="K387">
        <v>78</v>
      </c>
      <c r="L387" t="s">
        <v>14</v>
      </c>
      <c r="M387">
        <f>mlb_payrolls[[#This Row],[Wins]] + mlb_payrolls[[#This Row],[Losses]]</f>
        <v>162</v>
      </c>
      <c r="N387" s="2">
        <f>IF(mlb_payrolls[[#This Row],[Games]] &gt;0, mlb_payrolls[[#This Row],[Wins]]/mlb_payrolls[[#This Row],[Games]], "")</f>
        <v>0.51851851851851849</v>
      </c>
      <c r="O387" s="1">
        <f>IFERROR(VALUE(mlb_payrolls[[#This Row],[Total Payroll Allocations]])/VALUE(mlb_payrolls[[#This Row],[Wins]]),"")</f>
        <v>2627897.3333333335</v>
      </c>
      <c r="P387" s="1">
        <f>SUM(mlb_payrolls[[#This Row],[Active 26-Man]],mlb_payrolls[[#This Row],[Injured]],mlb_payrolls[[#This Row],[Retained]],mlb_payrolls[[#This Row],[Buried]])</f>
        <v>220743376</v>
      </c>
      <c r="Q387" s="1">
        <f>mlb_payrolls[[#This Row],[Total Payroll Allocations]]-mlb_payrolls[[#This Row],[Payroll Parts Sum]]</f>
        <v>0</v>
      </c>
      <c r="R387" s="2">
        <f>IF(mlb_payrolls[[#This Row],[Total Payroll Allocations]]&gt;0, mlb_payrolls[[#This Row],[Active 26-Man]]/mlb_payrolls[[#This Row],[Total Payroll Allocations]],"")</f>
        <v>0.72126066876860673</v>
      </c>
      <c r="S387" s="2">
        <f>IF(mlb_payrolls[[#This Row],[Total Payroll Allocations]]&gt;0,mlb_payrolls[[#This Row],[Injured]]/mlb_payrolls[[#This Row],[Total Payroll Allocations]])</f>
        <v>4.7609170387971231E-2</v>
      </c>
      <c r="T387" s="3">
        <f>IF(mlb_payrolls[[#This Row],[Total Payroll Allocations]]&gt;0,mlb_payrolls[[#This Row],[Retained]]/mlb_payrolls[[#This Row],[Total Payroll Allocations]])</f>
        <v>0.22758764910798501</v>
      </c>
      <c r="U387" s="3">
        <f>IF(mlb_payrolls[[#This Row],[Total Payroll Allocations]]&gt;0,mlb_payrolls[[#This Row],[Buried]]/mlb_payrolls[[#This Row],[Total Payroll Allocations]])</f>
        <v>3.5425117354370805E-3</v>
      </c>
      <c r="V387">
        <f>IF(mlb_payrolls[[#This Row],[Postseason]]="No Playoffs",0,1)</f>
        <v>0</v>
      </c>
    </row>
    <row r="388" spans="1:22" x14ac:dyDescent="0.3">
      <c r="A388" t="s">
        <v>71</v>
      </c>
      <c r="B388" t="s">
        <v>72</v>
      </c>
      <c r="C388">
        <v>2015</v>
      </c>
      <c r="D388">
        <v>27.6</v>
      </c>
      <c r="E388" s="1">
        <v>221242659</v>
      </c>
      <c r="F388" s="1">
        <v>187465727</v>
      </c>
      <c r="G388" s="1">
        <v>24415379</v>
      </c>
      <c r="H388" s="1">
        <v>8459561</v>
      </c>
      <c r="I388" s="1">
        <v>394492</v>
      </c>
      <c r="J388">
        <v>87</v>
      </c>
      <c r="K388">
        <v>75</v>
      </c>
      <c r="L388" t="s">
        <v>21</v>
      </c>
      <c r="M388">
        <f>mlb_payrolls[[#This Row],[Wins]] + mlb_payrolls[[#This Row],[Losses]]</f>
        <v>162</v>
      </c>
      <c r="N388" s="2">
        <f>IF(mlb_payrolls[[#This Row],[Games]] &gt;0, mlb_payrolls[[#This Row],[Wins]]/mlb_payrolls[[#This Row],[Games]], "")</f>
        <v>0.53703703703703709</v>
      </c>
      <c r="O388" s="1">
        <f>IFERROR(VALUE(mlb_payrolls[[#This Row],[Total Payroll Allocations]])/VALUE(mlb_payrolls[[#This Row],[Wins]]),"")</f>
        <v>2543019.0689655175</v>
      </c>
      <c r="P388" s="1">
        <f>SUM(mlb_payrolls[[#This Row],[Active 26-Man]],mlb_payrolls[[#This Row],[Injured]],mlb_payrolls[[#This Row],[Retained]],mlb_payrolls[[#This Row],[Buried]])</f>
        <v>220735159</v>
      </c>
      <c r="Q388" s="1">
        <f>mlb_payrolls[[#This Row],[Total Payroll Allocations]]-mlb_payrolls[[#This Row],[Payroll Parts Sum]]</f>
        <v>507500</v>
      </c>
      <c r="R388" s="2">
        <f>IF(mlb_payrolls[[#This Row],[Total Payroll Allocations]]&gt;0, mlb_payrolls[[#This Row],[Active 26-Man]]/mlb_payrolls[[#This Row],[Total Payroll Allocations]],"")</f>
        <v>0.84733083505383111</v>
      </c>
      <c r="S388" s="2">
        <f>IF(mlb_payrolls[[#This Row],[Total Payroll Allocations]]&gt;0,mlb_payrolls[[#This Row],[Injured]]/mlb_payrolls[[#This Row],[Total Payroll Allocations]])</f>
        <v>0.11035565704351799</v>
      </c>
      <c r="T388" s="3">
        <f>IF(mlb_payrolls[[#This Row],[Total Payroll Allocations]]&gt;0,mlb_payrolls[[#This Row],[Retained]]/mlb_payrolls[[#This Row],[Total Payroll Allocations]])</f>
        <v>3.8236572631320617E-2</v>
      </c>
      <c r="U388" s="3">
        <f>IF(mlb_payrolls[[#This Row],[Total Payroll Allocations]]&gt;0,mlb_payrolls[[#This Row],[Buried]]/mlb_payrolls[[#This Row],[Total Payroll Allocations]])</f>
        <v>1.7830738510514828E-3</v>
      </c>
      <c r="V388">
        <f>IF(mlb_payrolls[[#This Row],[Postseason]]="No Playoffs",0,1)</f>
        <v>1</v>
      </c>
    </row>
    <row r="389" spans="1:22" x14ac:dyDescent="0.3">
      <c r="A389" t="s">
        <v>61</v>
      </c>
      <c r="B389" t="s">
        <v>62</v>
      </c>
      <c r="C389">
        <v>2019</v>
      </c>
      <c r="D389">
        <v>28.7</v>
      </c>
      <c r="E389" s="1">
        <v>221580085</v>
      </c>
      <c r="F389" s="1">
        <v>197673216</v>
      </c>
      <c r="G389" s="1">
        <v>11093615</v>
      </c>
      <c r="H389" s="1">
        <v>8275227</v>
      </c>
      <c r="I389" s="1">
        <v>4538027</v>
      </c>
      <c r="J389">
        <v>84</v>
      </c>
      <c r="K389">
        <v>78</v>
      </c>
      <c r="L389" t="s">
        <v>14</v>
      </c>
      <c r="M389">
        <f>mlb_payrolls[[#This Row],[Wins]] + mlb_payrolls[[#This Row],[Losses]]</f>
        <v>162</v>
      </c>
      <c r="N389" s="2">
        <f>IF(mlb_payrolls[[#This Row],[Games]] &gt;0, mlb_payrolls[[#This Row],[Wins]]/mlb_payrolls[[#This Row],[Games]], "")</f>
        <v>0.51851851851851849</v>
      </c>
      <c r="O389" s="1">
        <f>IFERROR(VALUE(mlb_payrolls[[#This Row],[Total Payroll Allocations]])/VALUE(mlb_payrolls[[#This Row],[Wins]]),"")</f>
        <v>2637858.1547619049</v>
      </c>
      <c r="P389" s="1">
        <f>SUM(mlb_payrolls[[#This Row],[Active 26-Man]],mlb_payrolls[[#This Row],[Injured]],mlb_payrolls[[#This Row],[Retained]],mlb_payrolls[[#This Row],[Buried]])</f>
        <v>221580085</v>
      </c>
      <c r="Q389" s="1">
        <f>mlb_payrolls[[#This Row],[Total Payroll Allocations]]-mlb_payrolls[[#This Row],[Payroll Parts Sum]]</f>
        <v>0</v>
      </c>
      <c r="R389" s="2">
        <f>IF(mlb_payrolls[[#This Row],[Total Payroll Allocations]]&gt;0, mlb_payrolls[[#This Row],[Active 26-Man]]/mlb_payrolls[[#This Row],[Total Payroll Allocations]],"")</f>
        <v>0.89210732092642708</v>
      </c>
      <c r="S389" s="2">
        <f>IF(mlb_payrolls[[#This Row],[Total Payroll Allocations]]&gt;0,mlb_payrolls[[#This Row],[Injured]]/mlb_payrolls[[#This Row],[Total Payroll Allocations]])</f>
        <v>5.0065938913237622E-2</v>
      </c>
      <c r="T389" s="3">
        <f>IF(mlb_payrolls[[#This Row],[Total Payroll Allocations]]&gt;0,mlb_payrolls[[#This Row],[Retained]]/mlb_payrolls[[#This Row],[Total Payroll Allocations]])</f>
        <v>3.7346438422026965E-2</v>
      </c>
      <c r="U389" s="3">
        <f>IF(mlb_payrolls[[#This Row],[Total Payroll Allocations]]&gt;0,mlb_payrolls[[#This Row],[Buried]]/mlb_payrolls[[#This Row],[Total Payroll Allocations]])</f>
        <v>2.0480301738308296E-2</v>
      </c>
      <c r="V389">
        <f>IF(mlb_payrolls[[#This Row],[Postseason]]="No Playoffs",0,1)</f>
        <v>0</v>
      </c>
    </row>
    <row r="390" spans="1:22" x14ac:dyDescent="0.3">
      <c r="A390" t="s">
        <v>71</v>
      </c>
      <c r="B390" t="s">
        <v>72</v>
      </c>
      <c r="C390">
        <v>2019</v>
      </c>
      <c r="D390">
        <v>28.6</v>
      </c>
      <c r="E390" s="1">
        <v>223019037</v>
      </c>
      <c r="F390" s="1">
        <v>171935047</v>
      </c>
      <c r="G390" s="1">
        <v>42325463</v>
      </c>
      <c r="H390" s="1">
        <v>7772219</v>
      </c>
      <c r="I390" s="1">
        <v>408808</v>
      </c>
      <c r="J390">
        <v>103</v>
      </c>
      <c r="K390">
        <v>59</v>
      </c>
      <c r="L390" t="s">
        <v>24</v>
      </c>
      <c r="M390">
        <f>mlb_payrolls[[#This Row],[Wins]] + mlb_payrolls[[#This Row],[Losses]]</f>
        <v>162</v>
      </c>
      <c r="N390" s="2">
        <f>IF(mlb_payrolls[[#This Row],[Games]] &gt;0, mlb_payrolls[[#This Row],[Wins]]/mlb_payrolls[[#This Row],[Games]], "")</f>
        <v>0.63580246913580252</v>
      </c>
      <c r="O390" s="1">
        <f>IFERROR(VALUE(mlb_payrolls[[#This Row],[Total Payroll Allocations]])/VALUE(mlb_payrolls[[#This Row],[Wins]]),"")</f>
        <v>2165233.368932039</v>
      </c>
      <c r="P390" s="1">
        <f>SUM(mlb_payrolls[[#This Row],[Active 26-Man]],mlb_payrolls[[#This Row],[Injured]],mlb_payrolls[[#This Row],[Retained]],mlb_payrolls[[#This Row],[Buried]])</f>
        <v>222441537</v>
      </c>
      <c r="Q390" s="1">
        <f>mlb_payrolls[[#This Row],[Total Payroll Allocations]]-mlb_payrolls[[#This Row],[Payroll Parts Sum]]</f>
        <v>577500</v>
      </c>
      <c r="R390" s="2">
        <f>IF(mlb_payrolls[[#This Row],[Total Payroll Allocations]]&gt;0, mlb_payrolls[[#This Row],[Active 26-Man]]/mlb_payrolls[[#This Row],[Total Payroll Allocations]],"")</f>
        <v>0.77094336570021149</v>
      </c>
      <c r="S390" s="2">
        <f>IF(mlb_payrolls[[#This Row],[Total Payroll Allocations]]&gt;0,mlb_payrolls[[#This Row],[Injured]]/mlb_payrolls[[#This Row],[Total Payroll Allocations]])</f>
        <v>0.18978408107824446</v>
      </c>
      <c r="T390" s="3">
        <f>IF(mlb_payrolls[[#This Row],[Total Payroll Allocations]]&gt;0,mlb_payrolls[[#This Row],[Retained]]/mlb_payrolls[[#This Row],[Total Payroll Allocations]])</f>
        <v>3.4850024933073313E-2</v>
      </c>
      <c r="U390" s="3">
        <f>IF(mlb_payrolls[[#This Row],[Total Payroll Allocations]]&gt;0,mlb_payrolls[[#This Row],[Buried]]/mlb_payrolls[[#This Row],[Total Payroll Allocations]])</f>
        <v>1.8330632465245556E-3</v>
      </c>
      <c r="V390">
        <f>IF(mlb_payrolls[[#This Row],[Postseason]]="No Playoffs",0,1)</f>
        <v>1</v>
      </c>
    </row>
    <row r="391" spans="1:22" x14ac:dyDescent="0.3">
      <c r="A391" t="s">
        <v>41</v>
      </c>
      <c r="B391" t="s">
        <v>42</v>
      </c>
      <c r="C391">
        <v>2022</v>
      </c>
      <c r="D391">
        <v>29.2</v>
      </c>
      <c r="E391" s="1">
        <v>224511694</v>
      </c>
      <c r="F391" s="1">
        <v>173934032</v>
      </c>
      <c r="G391" s="1">
        <v>10925000</v>
      </c>
      <c r="H391" s="1">
        <v>34528348</v>
      </c>
      <c r="I391" s="1">
        <v>921017</v>
      </c>
      <c r="J391">
        <v>89</v>
      </c>
      <c r="K391">
        <v>73</v>
      </c>
      <c r="L391" t="s">
        <v>21</v>
      </c>
      <c r="M391">
        <f>mlb_payrolls[[#This Row],[Wins]] + mlb_payrolls[[#This Row],[Losses]]</f>
        <v>162</v>
      </c>
      <c r="N391" s="2">
        <f>IF(mlb_payrolls[[#This Row],[Games]] &gt;0, mlb_payrolls[[#This Row],[Wins]]/mlb_payrolls[[#This Row],[Games]], "")</f>
        <v>0.54938271604938271</v>
      </c>
      <c r="O391" s="1">
        <f>IFERROR(VALUE(mlb_payrolls[[#This Row],[Total Payroll Allocations]])/VALUE(mlb_payrolls[[#This Row],[Wins]]),"")</f>
        <v>2522603.3033707864</v>
      </c>
      <c r="P391" s="1">
        <f>SUM(mlb_payrolls[[#This Row],[Active 26-Man]],mlb_payrolls[[#This Row],[Injured]],mlb_payrolls[[#This Row],[Retained]],mlb_payrolls[[#This Row],[Buried]])</f>
        <v>220308397</v>
      </c>
      <c r="Q391" s="1">
        <f>mlb_payrolls[[#This Row],[Total Payroll Allocations]]-mlb_payrolls[[#This Row],[Payroll Parts Sum]]</f>
        <v>4203297</v>
      </c>
      <c r="R391" s="2">
        <f>IF(mlb_payrolls[[#This Row],[Total Payroll Allocations]]&gt;0, mlb_payrolls[[#This Row],[Active 26-Man]]/mlb_payrolls[[#This Row],[Total Payroll Allocations]],"")</f>
        <v>0.77472148065481172</v>
      </c>
      <c r="S391" s="2">
        <f>IF(mlb_payrolls[[#This Row],[Total Payroll Allocations]]&gt;0,mlb_payrolls[[#This Row],[Injured]]/mlb_payrolls[[#This Row],[Total Payroll Allocations]])</f>
        <v>4.8661162389162675E-2</v>
      </c>
      <c r="T391" s="3">
        <f>IF(mlb_payrolls[[#This Row],[Total Payroll Allocations]]&gt;0,mlb_payrolls[[#This Row],[Retained]]/mlb_payrolls[[#This Row],[Total Payroll Allocations]])</f>
        <v>0.15379309373524214</v>
      </c>
      <c r="U391" s="3">
        <f>IF(mlb_payrolls[[#This Row],[Total Payroll Allocations]]&gt;0,mlb_payrolls[[#This Row],[Buried]]/mlb_payrolls[[#This Row],[Total Payroll Allocations]])</f>
        <v>4.1023119267898801E-3</v>
      </c>
      <c r="V391">
        <f>IF(mlb_payrolls[[#This Row],[Postseason]]="No Playoffs",0,1)</f>
        <v>1</v>
      </c>
    </row>
    <row r="392" spans="1:22" x14ac:dyDescent="0.3">
      <c r="A392" t="s">
        <v>63</v>
      </c>
      <c r="B392" t="s">
        <v>64</v>
      </c>
      <c r="C392">
        <v>2024</v>
      </c>
      <c r="D392">
        <v>29.4</v>
      </c>
      <c r="E392" s="1">
        <v>225545408</v>
      </c>
      <c r="F392" s="1">
        <v>141209070</v>
      </c>
      <c r="G392" s="1">
        <v>70265121</v>
      </c>
      <c r="H392" s="1">
        <v>8523079</v>
      </c>
      <c r="I392" s="1">
        <v>798138</v>
      </c>
      <c r="J392">
        <v>78</v>
      </c>
      <c r="K392">
        <v>84</v>
      </c>
      <c r="L392" t="s">
        <v>14</v>
      </c>
      <c r="M392">
        <f>mlb_payrolls[[#This Row],[Wins]] + mlb_payrolls[[#This Row],[Losses]]</f>
        <v>162</v>
      </c>
      <c r="N392" s="2">
        <f>IF(mlb_payrolls[[#This Row],[Games]] &gt;0, mlb_payrolls[[#This Row],[Wins]]/mlb_payrolls[[#This Row],[Games]], "")</f>
        <v>0.48148148148148145</v>
      </c>
      <c r="O392" s="1">
        <f>IFERROR(VALUE(mlb_payrolls[[#This Row],[Total Payroll Allocations]])/VALUE(mlb_payrolls[[#This Row],[Wins]]),"")</f>
        <v>2891607.794871795</v>
      </c>
      <c r="P392" s="1">
        <f>SUM(mlb_payrolls[[#This Row],[Active 26-Man]],mlb_payrolls[[#This Row],[Injured]],mlb_payrolls[[#This Row],[Retained]],mlb_payrolls[[#This Row],[Buried]])</f>
        <v>220795408</v>
      </c>
      <c r="Q392" s="1">
        <f>mlb_payrolls[[#This Row],[Total Payroll Allocations]]-mlb_payrolls[[#This Row],[Payroll Parts Sum]]</f>
        <v>4750000</v>
      </c>
      <c r="R392" s="2">
        <f>IF(mlb_payrolls[[#This Row],[Total Payroll Allocations]]&gt;0, mlb_payrolls[[#This Row],[Active 26-Man]]/mlb_payrolls[[#This Row],[Total Payroll Allocations]],"")</f>
        <v>0.62607823077470948</v>
      </c>
      <c r="S392" s="2">
        <f>IF(mlb_payrolls[[#This Row],[Total Payroll Allocations]]&gt;0,mlb_payrolls[[#This Row],[Injured]]/mlb_payrolls[[#This Row],[Total Payroll Allocations]])</f>
        <v>0.311534256552011</v>
      </c>
      <c r="T392" s="3">
        <f>IF(mlb_payrolls[[#This Row],[Total Payroll Allocations]]&gt;0,mlb_payrolls[[#This Row],[Retained]]/mlb_payrolls[[#This Row],[Total Payroll Allocations]])</f>
        <v>3.7788749837904034E-2</v>
      </c>
      <c r="U392" s="3">
        <f>IF(mlb_payrolls[[#This Row],[Total Payroll Allocations]]&gt;0,mlb_payrolls[[#This Row],[Buried]]/mlb_payrolls[[#This Row],[Total Payroll Allocations]])</f>
        <v>3.5387020603851087E-3</v>
      </c>
      <c r="V392">
        <f>IF(mlb_payrolls[[#This Row],[Postseason]]="No Playoffs",0,1)</f>
        <v>0</v>
      </c>
    </row>
    <row r="393" spans="1:22" x14ac:dyDescent="0.3">
      <c r="A393" t="s">
        <v>71</v>
      </c>
      <c r="B393" t="s">
        <v>72</v>
      </c>
      <c r="C393">
        <v>2012</v>
      </c>
      <c r="D393">
        <v>30.4</v>
      </c>
      <c r="E393" s="1">
        <v>225589742</v>
      </c>
      <c r="F393" s="1">
        <v>213651218</v>
      </c>
      <c r="G393" s="1">
        <v>0</v>
      </c>
      <c r="H393" s="1">
        <v>11938524</v>
      </c>
      <c r="I393" s="1">
        <v>0</v>
      </c>
      <c r="J393">
        <v>95</v>
      </c>
      <c r="K393">
        <v>67</v>
      </c>
      <c r="L393" t="s">
        <v>24</v>
      </c>
      <c r="M393">
        <f>mlb_payrolls[[#This Row],[Wins]] + mlb_payrolls[[#This Row],[Losses]]</f>
        <v>162</v>
      </c>
      <c r="N393" s="2">
        <f>IF(mlb_payrolls[[#This Row],[Games]] &gt;0, mlb_payrolls[[#This Row],[Wins]]/mlb_payrolls[[#This Row],[Games]], "")</f>
        <v>0.5864197530864198</v>
      </c>
      <c r="O393" s="1">
        <f>IFERROR(VALUE(mlb_payrolls[[#This Row],[Total Payroll Allocations]])/VALUE(mlb_payrolls[[#This Row],[Wins]]),"")</f>
        <v>2374628.8631578949</v>
      </c>
      <c r="P393" s="1">
        <f>SUM(mlb_payrolls[[#This Row],[Active 26-Man]],mlb_payrolls[[#This Row],[Injured]],mlb_payrolls[[#This Row],[Retained]],mlb_payrolls[[#This Row],[Buried]])</f>
        <v>225589742</v>
      </c>
      <c r="Q393" s="1">
        <f>mlb_payrolls[[#This Row],[Total Payroll Allocations]]-mlb_payrolls[[#This Row],[Payroll Parts Sum]]</f>
        <v>0</v>
      </c>
      <c r="R393" s="2">
        <f>IF(mlb_payrolls[[#This Row],[Total Payroll Allocations]]&gt;0, mlb_payrolls[[#This Row],[Active 26-Man]]/mlb_payrolls[[#This Row],[Total Payroll Allocations]],"")</f>
        <v>0.9470786043099424</v>
      </c>
      <c r="S393" s="2">
        <f>IF(mlb_payrolls[[#This Row],[Total Payroll Allocations]]&gt;0,mlb_payrolls[[#This Row],[Injured]]/mlb_payrolls[[#This Row],[Total Payroll Allocations]])</f>
        <v>0</v>
      </c>
      <c r="T393" s="3">
        <f>IF(mlb_payrolls[[#This Row],[Total Payroll Allocations]]&gt;0,mlb_payrolls[[#This Row],[Retained]]/mlb_payrolls[[#This Row],[Total Payroll Allocations]])</f>
        <v>5.2921395690057577E-2</v>
      </c>
      <c r="U393" s="3">
        <f>IF(mlb_payrolls[[#This Row],[Total Payroll Allocations]]&gt;0,mlb_payrolls[[#This Row],[Buried]]/mlb_payrolls[[#This Row],[Total Payroll Allocations]])</f>
        <v>0</v>
      </c>
      <c r="V393">
        <f>IF(mlb_payrolls[[#This Row],[Postseason]]="No Playoffs",0,1)</f>
        <v>1</v>
      </c>
    </row>
    <row r="394" spans="1:22" x14ac:dyDescent="0.3">
      <c r="A394" t="s">
        <v>47</v>
      </c>
      <c r="B394" t="s">
        <v>48</v>
      </c>
      <c r="C394">
        <v>2018</v>
      </c>
      <c r="D394">
        <v>28.6</v>
      </c>
      <c r="E394" s="1">
        <v>227398860</v>
      </c>
      <c r="F394" s="1">
        <v>167955780</v>
      </c>
      <c r="G394" s="1">
        <v>18074000</v>
      </c>
      <c r="H394" s="1">
        <v>41755860</v>
      </c>
      <c r="I394" s="1">
        <v>158220</v>
      </c>
      <c r="J394">
        <v>108</v>
      </c>
      <c r="K394">
        <v>54</v>
      </c>
      <c r="L394" t="s">
        <v>24</v>
      </c>
      <c r="M394">
        <f>mlb_payrolls[[#This Row],[Wins]] + mlb_payrolls[[#This Row],[Losses]]</f>
        <v>162</v>
      </c>
      <c r="N394" s="2">
        <f>IF(mlb_payrolls[[#This Row],[Games]] &gt;0, mlb_payrolls[[#This Row],[Wins]]/mlb_payrolls[[#This Row],[Games]], "")</f>
        <v>0.66666666666666663</v>
      </c>
      <c r="O394" s="1">
        <f>IFERROR(VALUE(mlb_payrolls[[#This Row],[Total Payroll Allocations]])/VALUE(mlb_payrolls[[#This Row],[Wins]]),"")</f>
        <v>2105545</v>
      </c>
      <c r="P394" s="1">
        <f>SUM(mlb_payrolls[[#This Row],[Active 26-Man]],mlb_payrolls[[#This Row],[Injured]],mlb_payrolls[[#This Row],[Retained]],mlb_payrolls[[#This Row],[Buried]])</f>
        <v>227943860</v>
      </c>
      <c r="Q394" s="1">
        <f>mlb_payrolls[[#This Row],[Total Payroll Allocations]]-mlb_payrolls[[#This Row],[Payroll Parts Sum]]</f>
        <v>-545000</v>
      </c>
      <c r="R394" s="2">
        <f>IF(mlb_payrolls[[#This Row],[Total Payroll Allocations]]&gt;0, mlb_payrolls[[#This Row],[Active 26-Man]]/mlb_payrolls[[#This Row],[Total Payroll Allocations]],"")</f>
        <v>0.73859552330209566</v>
      </c>
      <c r="S394" s="2">
        <f>IF(mlb_payrolls[[#This Row],[Total Payroll Allocations]]&gt;0,mlb_payrolls[[#This Row],[Injured]]/mlb_payrolls[[#This Row],[Total Payroll Allocations]])</f>
        <v>7.9481489045283696E-2</v>
      </c>
      <c r="T394" s="3">
        <f>IF(mlb_payrolls[[#This Row],[Total Payroll Allocations]]&gt;0,mlb_payrolls[[#This Row],[Retained]]/mlb_payrolls[[#This Row],[Total Payroll Allocations]])</f>
        <v>0.18362387568697575</v>
      </c>
      <c r="U394" s="3">
        <f>IF(mlb_payrolls[[#This Row],[Total Payroll Allocations]]&gt;0,mlb_payrolls[[#This Row],[Buried]]/mlb_payrolls[[#This Row],[Total Payroll Allocations]])</f>
        <v>6.9578185220453613E-4</v>
      </c>
      <c r="V394">
        <f>IF(mlb_payrolls[[#This Row],[Postseason]]="No Playoffs",0,1)</f>
        <v>1</v>
      </c>
    </row>
    <row r="395" spans="1:22" x14ac:dyDescent="0.3">
      <c r="A395" t="s">
        <v>59</v>
      </c>
      <c r="B395" t="s">
        <v>60</v>
      </c>
      <c r="C395">
        <v>2023</v>
      </c>
      <c r="D395">
        <v>26.8</v>
      </c>
      <c r="E395" s="1">
        <v>227884276</v>
      </c>
      <c r="F395" s="1">
        <v>43769159</v>
      </c>
      <c r="G395" s="1">
        <v>147537321</v>
      </c>
      <c r="H395" s="1">
        <v>28243281</v>
      </c>
      <c r="I395" s="1">
        <v>1334515</v>
      </c>
      <c r="J395">
        <v>73</v>
      </c>
      <c r="K395">
        <v>89</v>
      </c>
      <c r="L395" t="s">
        <v>14</v>
      </c>
      <c r="M395">
        <f>mlb_payrolls[[#This Row],[Wins]] + mlb_payrolls[[#This Row],[Losses]]</f>
        <v>162</v>
      </c>
      <c r="N395" s="2">
        <f>IF(mlb_payrolls[[#This Row],[Games]] &gt;0, mlb_payrolls[[#This Row],[Wins]]/mlb_payrolls[[#This Row],[Games]], "")</f>
        <v>0.45061728395061729</v>
      </c>
      <c r="O395" s="1">
        <f>IFERROR(VALUE(mlb_payrolls[[#This Row],[Total Payroll Allocations]])/VALUE(mlb_payrolls[[#This Row],[Wins]]),"")</f>
        <v>3121702.4109589043</v>
      </c>
      <c r="P395" s="1">
        <f>SUM(mlb_payrolls[[#This Row],[Active 26-Man]],mlb_payrolls[[#This Row],[Injured]],mlb_payrolls[[#This Row],[Retained]],mlb_payrolls[[#This Row],[Buried]])</f>
        <v>220884276</v>
      </c>
      <c r="Q395" s="1">
        <f>mlb_payrolls[[#This Row],[Total Payroll Allocations]]-mlb_payrolls[[#This Row],[Payroll Parts Sum]]</f>
        <v>7000000</v>
      </c>
      <c r="R395" s="2">
        <f>IF(mlb_payrolls[[#This Row],[Total Payroll Allocations]]&gt;0, mlb_payrolls[[#This Row],[Active 26-Man]]/mlb_payrolls[[#This Row],[Total Payroll Allocations]],"")</f>
        <v>0.19206748165459209</v>
      </c>
      <c r="S395" s="2">
        <f>IF(mlb_payrolls[[#This Row],[Total Payroll Allocations]]&gt;0,mlb_payrolls[[#This Row],[Injured]]/mlb_payrolls[[#This Row],[Total Payroll Allocations]])</f>
        <v>0.64742211963760066</v>
      </c>
      <c r="T395" s="3">
        <f>IF(mlb_payrolls[[#This Row],[Total Payroll Allocations]]&gt;0,mlb_payrolls[[#This Row],[Retained]]/mlb_payrolls[[#This Row],[Total Payroll Allocations]])</f>
        <v>0.12393694508347737</v>
      </c>
      <c r="U395" s="3">
        <f>IF(mlb_payrolls[[#This Row],[Total Payroll Allocations]]&gt;0,mlb_payrolls[[#This Row],[Buried]]/mlb_payrolls[[#This Row],[Total Payroll Allocations]])</f>
        <v>5.8561082994598541E-3</v>
      </c>
      <c r="V395">
        <f>IF(mlb_payrolls[[#This Row],[Postseason]]="No Playoffs",0,1)</f>
        <v>0</v>
      </c>
    </row>
    <row r="396" spans="1:22" x14ac:dyDescent="0.3">
      <c r="A396" t="s">
        <v>47</v>
      </c>
      <c r="B396" t="s">
        <v>48</v>
      </c>
      <c r="C396">
        <v>2019</v>
      </c>
      <c r="D396">
        <v>28.1</v>
      </c>
      <c r="E396" s="1">
        <v>229166880</v>
      </c>
      <c r="F396" s="1">
        <v>165856221</v>
      </c>
      <c r="G396" s="1">
        <v>37583783</v>
      </c>
      <c r="H396" s="1">
        <v>25887800</v>
      </c>
      <c r="I396" s="1">
        <v>394076</v>
      </c>
      <c r="J396">
        <v>84</v>
      </c>
      <c r="K396">
        <v>78</v>
      </c>
      <c r="L396" t="s">
        <v>14</v>
      </c>
      <c r="M396">
        <f>mlb_payrolls[[#This Row],[Wins]] + mlb_payrolls[[#This Row],[Losses]]</f>
        <v>162</v>
      </c>
      <c r="N396" s="2">
        <f>IF(mlb_payrolls[[#This Row],[Games]] &gt;0, mlb_payrolls[[#This Row],[Wins]]/mlb_payrolls[[#This Row],[Games]], "")</f>
        <v>0.51851851851851849</v>
      </c>
      <c r="O396" s="1">
        <f>IFERROR(VALUE(mlb_payrolls[[#This Row],[Total Payroll Allocations]])/VALUE(mlb_payrolls[[#This Row],[Wins]]),"")</f>
        <v>2728177.1428571427</v>
      </c>
      <c r="P396" s="1">
        <f>SUM(mlb_payrolls[[#This Row],[Active 26-Man]],mlb_payrolls[[#This Row],[Injured]],mlb_payrolls[[#This Row],[Retained]],mlb_payrolls[[#This Row],[Buried]])</f>
        <v>229721880</v>
      </c>
      <c r="Q396" s="1">
        <f>mlb_payrolls[[#This Row],[Total Payroll Allocations]]-mlb_payrolls[[#This Row],[Payroll Parts Sum]]</f>
        <v>-555000</v>
      </c>
      <c r="R396" s="2">
        <f>IF(mlb_payrolls[[#This Row],[Total Payroll Allocations]]&gt;0, mlb_payrolls[[#This Row],[Active 26-Man]]/mlb_payrolls[[#This Row],[Total Payroll Allocations]],"")</f>
        <v>0.72373556335889377</v>
      </c>
      <c r="S396" s="2">
        <f>IF(mlb_payrolls[[#This Row],[Total Payroll Allocations]]&gt;0,mlb_payrolls[[#This Row],[Injured]]/mlb_payrolls[[#This Row],[Total Payroll Allocations]])</f>
        <v>0.16400180951104279</v>
      </c>
      <c r="T396" s="3">
        <f>IF(mlb_payrolls[[#This Row],[Total Payroll Allocations]]&gt;0,mlb_payrolls[[#This Row],[Retained]]/mlb_payrolls[[#This Row],[Total Payroll Allocations]])</f>
        <v>0.11296484029454867</v>
      </c>
      <c r="U396" s="3">
        <f>IF(mlb_payrolls[[#This Row],[Total Payroll Allocations]]&gt;0,mlb_payrolls[[#This Row],[Buried]]/mlb_payrolls[[#This Row],[Total Payroll Allocations]])</f>
        <v>1.719602762842519E-3</v>
      </c>
      <c r="V396">
        <f>IF(mlb_payrolls[[#This Row],[Postseason]]="No Playoffs",0,1)</f>
        <v>0</v>
      </c>
    </row>
    <row r="397" spans="1:22" x14ac:dyDescent="0.3">
      <c r="A397" t="s">
        <v>61</v>
      </c>
      <c r="B397" t="s">
        <v>62</v>
      </c>
      <c r="C397">
        <v>2024</v>
      </c>
      <c r="D397">
        <v>27.9</v>
      </c>
      <c r="E397" s="1">
        <v>229567975</v>
      </c>
      <c r="F397" s="1">
        <v>177805468</v>
      </c>
      <c r="G397" s="1">
        <v>10207418</v>
      </c>
      <c r="H397" s="1">
        <v>36617219</v>
      </c>
      <c r="I397" s="1">
        <v>7604537</v>
      </c>
      <c r="J397">
        <v>83</v>
      </c>
      <c r="K397">
        <v>79</v>
      </c>
      <c r="L397" t="s">
        <v>14</v>
      </c>
      <c r="M397">
        <f>mlb_payrolls[[#This Row],[Wins]] + mlb_payrolls[[#This Row],[Losses]]</f>
        <v>162</v>
      </c>
      <c r="N397" s="2">
        <f>IF(mlb_payrolls[[#This Row],[Games]] &gt;0, mlb_payrolls[[#This Row],[Wins]]/mlb_payrolls[[#This Row],[Games]], "")</f>
        <v>0.51234567901234573</v>
      </c>
      <c r="O397" s="1">
        <f>IFERROR(VALUE(mlb_payrolls[[#This Row],[Total Payroll Allocations]])/VALUE(mlb_payrolls[[#This Row],[Wins]]),"")</f>
        <v>2765879.2168674697</v>
      </c>
      <c r="P397" s="1">
        <f>SUM(mlb_payrolls[[#This Row],[Active 26-Man]],mlb_payrolls[[#This Row],[Injured]],mlb_payrolls[[#This Row],[Retained]],mlb_payrolls[[#This Row],[Buried]])</f>
        <v>232234642</v>
      </c>
      <c r="Q397" s="1">
        <f>mlb_payrolls[[#This Row],[Total Payroll Allocations]]-mlb_payrolls[[#This Row],[Payroll Parts Sum]]</f>
        <v>-2666667</v>
      </c>
      <c r="R397" s="2">
        <f>IF(mlb_payrolls[[#This Row],[Total Payroll Allocations]]&gt;0, mlb_payrolls[[#This Row],[Active 26-Man]]/mlb_payrolls[[#This Row],[Total Payroll Allocations]],"")</f>
        <v>0.7745220908970426</v>
      </c>
      <c r="S397" s="2">
        <f>IF(mlb_payrolls[[#This Row],[Total Payroll Allocations]]&gt;0,mlb_payrolls[[#This Row],[Injured]]/mlb_payrolls[[#This Row],[Total Payroll Allocations]])</f>
        <v>4.4463597328852161E-2</v>
      </c>
      <c r="T397" s="3">
        <f>IF(mlb_payrolls[[#This Row],[Total Payroll Allocations]]&gt;0,mlb_payrolls[[#This Row],[Retained]]/mlb_payrolls[[#This Row],[Total Payroll Allocations]])</f>
        <v>0.15950490916688184</v>
      </c>
      <c r="U397" s="3">
        <f>IF(mlb_payrolls[[#This Row],[Total Payroll Allocations]]&gt;0,mlb_payrolls[[#This Row],[Buried]]/mlb_payrolls[[#This Row],[Total Payroll Allocations]])</f>
        <v>3.3125426140122552E-2</v>
      </c>
      <c r="V397">
        <f>IF(mlb_payrolls[[#This Row],[Postseason]]="No Playoffs",0,1)</f>
        <v>0</v>
      </c>
    </row>
    <row r="398" spans="1:22" x14ac:dyDescent="0.3">
      <c r="A398" t="s">
        <v>71</v>
      </c>
      <c r="B398" t="s">
        <v>72</v>
      </c>
      <c r="C398">
        <v>2013</v>
      </c>
      <c r="D398">
        <v>29.8</v>
      </c>
      <c r="E398" s="1">
        <v>234518126</v>
      </c>
      <c r="F398" s="1">
        <v>221782587</v>
      </c>
      <c r="G398" s="1">
        <v>0</v>
      </c>
      <c r="H398" s="1">
        <v>10760350</v>
      </c>
      <c r="I398" s="1">
        <v>1975189</v>
      </c>
      <c r="J398">
        <v>85</v>
      </c>
      <c r="K398">
        <v>77</v>
      </c>
      <c r="L398" t="s">
        <v>14</v>
      </c>
      <c r="M398">
        <f>mlb_payrolls[[#This Row],[Wins]] + mlb_payrolls[[#This Row],[Losses]]</f>
        <v>162</v>
      </c>
      <c r="N398" s="2">
        <f>IF(mlb_payrolls[[#This Row],[Games]] &gt;0, mlb_payrolls[[#This Row],[Wins]]/mlb_payrolls[[#This Row],[Games]], "")</f>
        <v>0.52469135802469136</v>
      </c>
      <c r="O398" s="1">
        <f>IFERROR(VALUE(mlb_payrolls[[#This Row],[Total Payroll Allocations]])/VALUE(mlb_payrolls[[#This Row],[Wins]]),"")</f>
        <v>2759036.7764705881</v>
      </c>
      <c r="P398" s="1">
        <f>SUM(mlb_payrolls[[#This Row],[Active 26-Man]],mlb_payrolls[[#This Row],[Injured]],mlb_payrolls[[#This Row],[Retained]],mlb_payrolls[[#This Row],[Buried]])</f>
        <v>234518126</v>
      </c>
      <c r="Q398" s="1">
        <f>mlb_payrolls[[#This Row],[Total Payroll Allocations]]-mlb_payrolls[[#This Row],[Payroll Parts Sum]]</f>
        <v>0</v>
      </c>
      <c r="R398" s="2">
        <f>IF(mlb_payrolls[[#This Row],[Total Payroll Allocations]]&gt;0, mlb_payrolls[[#This Row],[Active 26-Man]]/mlb_payrolls[[#This Row],[Total Payroll Allocations]],"")</f>
        <v>0.94569486283546378</v>
      </c>
      <c r="S398" s="2">
        <f>IF(mlb_payrolls[[#This Row],[Total Payroll Allocations]]&gt;0,mlb_payrolls[[#This Row],[Injured]]/mlb_payrolls[[#This Row],[Total Payroll Allocations]])</f>
        <v>0</v>
      </c>
      <c r="T398" s="3">
        <f>IF(mlb_payrolls[[#This Row],[Total Payroll Allocations]]&gt;0,mlb_payrolls[[#This Row],[Retained]]/mlb_payrolls[[#This Row],[Total Payroll Allocations]])</f>
        <v>4.5882807369866156E-2</v>
      </c>
      <c r="U398" s="3">
        <f>IF(mlb_payrolls[[#This Row],[Total Payroll Allocations]]&gt;0,mlb_payrolls[[#This Row],[Buried]]/mlb_payrolls[[#This Row],[Total Payroll Allocations]])</f>
        <v>8.4223297946701137E-3</v>
      </c>
      <c r="V398">
        <f>IF(mlb_payrolls[[#This Row],[Postseason]]="No Playoffs",0,1)</f>
        <v>0</v>
      </c>
    </row>
    <row r="399" spans="1:22" x14ac:dyDescent="0.3">
      <c r="A399" t="s">
        <v>57</v>
      </c>
      <c r="B399" t="s">
        <v>58</v>
      </c>
      <c r="C399">
        <v>2024</v>
      </c>
      <c r="D399">
        <v>30.9</v>
      </c>
      <c r="E399" s="1">
        <v>236433901</v>
      </c>
      <c r="F399" s="1">
        <v>156338167</v>
      </c>
      <c r="G399" s="1">
        <v>47028814</v>
      </c>
      <c r="H399" s="1">
        <v>29249155</v>
      </c>
      <c r="I399" s="1">
        <v>8417765</v>
      </c>
      <c r="J399">
        <v>89</v>
      </c>
      <c r="K399">
        <v>73</v>
      </c>
      <c r="L399" t="s">
        <v>21</v>
      </c>
      <c r="M399">
        <f>mlb_payrolls[[#This Row],[Wins]] + mlb_payrolls[[#This Row],[Losses]]</f>
        <v>162</v>
      </c>
      <c r="N399" s="2">
        <f>IF(mlb_payrolls[[#This Row],[Games]] &gt;0, mlb_payrolls[[#This Row],[Wins]]/mlb_payrolls[[#This Row],[Games]], "")</f>
        <v>0.54938271604938271</v>
      </c>
      <c r="O399" s="1">
        <f>IFERROR(VALUE(mlb_payrolls[[#This Row],[Total Payroll Allocations]])/VALUE(mlb_payrolls[[#This Row],[Wins]]),"")</f>
        <v>2656560.6853932585</v>
      </c>
      <c r="P399" s="1">
        <f>SUM(mlb_payrolls[[#This Row],[Active 26-Man]],mlb_payrolls[[#This Row],[Injured]],mlb_payrolls[[#This Row],[Retained]],mlb_payrolls[[#This Row],[Buried]])</f>
        <v>241033901</v>
      </c>
      <c r="Q399" s="1">
        <f>mlb_payrolls[[#This Row],[Total Payroll Allocations]]-mlb_payrolls[[#This Row],[Payroll Parts Sum]]</f>
        <v>-4600000</v>
      </c>
      <c r="R399" s="2">
        <f>IF(mlb_payrolls[[#This Row],[Total Payroll Allocations]]&gt;0, mlb_payrolls[[#This Row],[Active 26-Man]]/mlb_payrolls[[#This Row],[Total Payroll Allocations]],"")</f>
        <v>0.66123413917702101</v>
      </c>
      <c r="S399" s="2">
        <f>IF(mlb_payrolls[[#This Row],[Total Payroll Allocations]]&gt;0,mlb_payrolls[[#This Row],[Injured]]/mlb_payrolls[[#This Row],[Total Payroll Allocations]])</f>
        <v>0.19890892888494868</v>
      </c>
      <c r="T399" s="3">
        <f>IF(mlb_payrolls[[#This Row],[Total Payroll Allocations]]&gt;0,mlb_payrolls[[#This Row],[Retained]]/mlb_payrolls[[#This Row],[Total Payroll Allocations]])</f>
        <v>0.12370964940429588</v>
      </c>
      <c r="U399" s="3">
        <f>IF(mlb_payrolls[[#This Row],[Total Payroll Allocations]]&gt;0,mlb_payrolls[[#This Row],[Buried]]/mlb_payrolls[[#This Row],[Total Payroll Allocations]])</f>
        <v>3.5603037315702031E-2</v>
      </c>
      <c r="V399">
        <f>IF(mlb_payrolls[[#This Row],[Postseason]]="No Playoffs",0,1)</f>
        <v>1</v>
      </c>
    </row>
    <row r="400" spans="1:22" x14ac:dyDescent="0.3">
      <c r="A400" t="s">
        <v>51</v>
      </c>
      <c r="B400" t="s">
        <v>52</v>
      </c>
      <c r="C400">
        <v>2013</v>
      </c>
      <c r="D400">
        <v>29.1</v>
      </c>
      <c r="E400" s="1">
        <v>236694375</v>
      </c>
      <c r="F400" s="1">
        <v>207849759</v>
      </c>
      <c r="G400" s="1">
        <v>0</v>
      </c>
      <c r="H400" s="1">
        <v>22547116</v>
      </c>
      <c r="I400" s="1">
        <v>6297500</v>
      </c>
      <c r="J400">
        <v>92</v>
      </c>
      <c r="K400">
        <v>70</v>
      </c>
      <c r="L400" t="s">
        <v>24</v>
      </c>
      <c r="M400">
        <f>mlb_payrolls[[#This Row],[Wins]] + mlb_payrolls[[#This Row],[Losses]]</f>
        <v>162</v>
      </c>
      <c r="N400" s="2">
        <f>IF(mlb_payrolls[[#This Row],[Games]] &gt;0, mlb_payrolls[[#This Row],[Wins]]/mlb_payrolls[[#This Row],[Games]], "")</f>
        <v>0.5679012345679012</v>
      </c>
      <c r="O400" s="1">
        <f>IFERROR(VALUE(mlb_payrolls[[#This Row],[Total Payroll Allocations]])/VALUE(mlb_payrolls[[#This Row],[Wins]]),"")</f>
        <v>2572764.9456521738</v>
      </c>
      <c r="P400" s="1">
        <f>SUM(mlb_payrolls[[#This Row],[Active 26-Man]],mlb_payrolls[[#This Row],[Injured]],mlb_payrolls[[#This Row],[Retained]],mlb_payrolls[[#This Row],[Buried]])</f>
        <v>236694375</v>
      </c>
      <c r="Q400" s="1">
        <f>mlb_payrolls[[#This Row],[Total Payroll Allocations]]-mlb_payrolls[[#This Row],[Payroll Parts Sum]]</f>
        <v>0</v>
      </c>
      <c r="R400" s="2">
        <f>IF(mlb_payrolls[[#This Row],[Total Payroll Allocations]]&gt;0, mlb_payrolls[[#This Row],[Active 26-Man]]/mlb_payrolls[[#This Row],[Total Payroll Allocations]],"")</f>
        <v>0.87813560841908478</v>
      </c>
      <c r="S400" s="2">
        <f>IF(mlb_payrolls[[#This Row],[Total Payroll Allocations]]&gt;0,mlb_payrolls[[#This Row],[Injured]]/mlb_payrolls[[#This Row],[Total Payroll Allocations]])</f>
        <v>0</v>
      </c>
      <c r="T400" s="3">
        <f>IF(mlb_payrolls[[#This Row],[Total Payroll Allocations]]&gt;0,mlb_payrolls[[#This Row],[Retained]]/mlb_payrolls[[#This Row],[Total Payroll Allocations]])</f>
        <v>9.5258351619044598E-2</v>
      </c>
      <c r="U400" s="3">
        <f>IF(mlb_payrolls[[#This Row],[Total Payroll Allocations]]&gt;0,mlb_payrolls[[#This Row],[Buried]]/mlb_payrolls[[#This Row],[Total Payroll Allocations]])</f>
        <v>2.6606039961870661E-2</v>
      </c>
      <c r="V400">
        <f>IF(mlb_payrolls[[#This Row],[Postseason]]="No Playoffs",0,1)</f>
        <v>1</v>
      </c>
    </row>
    <row r="401" spans="1:22" x14ac:dyDescent="0.3">
      <c r="A401" t="s">
        <v>65</v>
      </c>
      <c r="B401" t="s">
        <v>66</v>
      </c>
      <c r="C401">
        <v>2023</v>
      </c>
      <c r="D401">
        <v>29.6</v>
      </c>
      <c r="E401" s="1">
        <v>237107748</v>
      </c>
      <c r="F401" s="1">
        <v>211270410</v>
      </c>
      <c r="G401" s="1">
        <v>16713200</v>
      </c>
      <c r="H401" s="1">
        <v>2830000</v>
      </c>
      <c r="I401" s="1">
        <v>2694138</v>
      </c>
      <c r="J401">
        <v>90</v>
      </c>
      <c r="K401">
        <v>72</v>
      </c>
      <c r="L401" t="s">
        <v>24</v>
      </c>
      <c r="M401">
        <f>mlb_payrolls[[#This Row],[Wins]] + mlb_payrolls[[#This Row],[Losses]]</f>
        <v>162</v>
      </c>
      <c r="N401" s="2">
        <f>IF(mlb_payrolls[[#This Row],[Games]] &gt;0, mlb_payrolls[[#This Row],[Wins]]/mlb_payrolls[[#This Row],[Games]], "")</f>
        <v>0.55555555555555558</v>
      </c>
      <c r="O401" s="1">
        <f>IFERROR(VALUE(mlb_payrolls[[#This Row],[Total Payroll Allocations]])/VALUE(mlb_payrolls[[#This Row],[Wins]]),"")</f>
        <v>2634530.5333333332</v>
      </c>
      <c r="P401" s="1">
        <f>SUM(mlb_payrolls[[#This Row],[Active 26-Man]],mlb_payrolls[[#This Row],[Injured]],mlb_payrolls[[#This Row],[Retained]],mlb_payrolls[[#This Row],[Buried]])</f>
        <v>233507748</v>
      </c>
      <c r="Q401" s="1">
        <f>mlb_payrolls[[#This Row],[Total Payroll Allocations]]-mlb_payrolls[[#This Row],[Payroll Parts Sum]]</f>
        <v>3600000</v>
      </c>
      <c r="R401" s="2">
        <f>IF(mlb_payrolls[[#This Row],[Total Payroll Allocations]]&gt;0, mlb_payrolls[[#This Row],[Active 26-Man]]/mlb_payrolls[[#This Row],[Total Payroll Allocations]],"")</f>
        <v>0.89103123698851039</v>
      </c>
      <c r="S401" s="2">
        <f>IF(mlb_payrolls[[#This Row],[Total Payroll Allocations]]&gt;0,mlb_payrolls[[#This Row],[Injured]]/mlb_payrolls[[#This Row],[Total Payroll Allocations]])</f>
        <v>7.0487785156645319E-2</v>
      </c>
      <c r="T401" s="3">
        <f>IF(mlb_payrolls[[#This Row],[Total Payroll Allocations]]&gt;0,mlb_payrolls[[#This Row],[Retained]]/mlb_payrolls[[#This Row],[Total Payroll Allocations]])</f>
        <v>1.1935501998019904E-2</v>
      </c>
      <c r="U401" s="3">
        <f>IF(mlb_payrolls[[#This Row],[Total Payroll Allocations]]&gt;0,mlb_payrolls[[#This Row],[Buried]]/mlb_payrolls[[#This Row],[Total Payroll Allocations]])</f>
        <v>1.1362505117293763E-2</v>
      </c>
      <c r="V401">
        <f>IF(mlb_payrolls[[#This Row],[Postseason]]="No Playoffs",0,1)</f>
        <v>1</v>
      </c>
    </row>
    <row r="402" spans="1:22" x14ac:dyDescent="0.3">
      <c r="A402" t="s">
        <v>51</v>
      </c>
      <c r="B402" t="s">
        <v>52</v>
      </c>
      <c r="C402">
        <v>2024</v>
      </c>
      <c r="D402">
        <v>30.4</v>
      </c>
      <c r="E402" s="1">
        <v>240240117</v>
      </c>
      <c r="F402" s="1">
        <v>169526771</v>
      </c>
      <c r="G402" s="1">
        <v>37949016</v>
      </c>
      <c r="H402" s="1">
        <v>27706461</v>
      </c>
      <c r="I402" s="1">
        <v>1846901</v>
      </c>
      <c r="J402">
        <v>98</v>
      </c>
      <c r="K402">
        <v>64</v>
      </c>
      <c r="L402" t="s">
        <v>24</v>
      </c>
      <c r="M402">
        <f>mlb_payrolls[[#This Row],[Wins]] + mlb_payrolls[[#This Row],[Losses]]</f>
        <v>162</v>
      </c>
      <c r="N402" s="2">
        <f>IF(mlb_payrolls[[#This Row],[Games]] &gt;0, mlb_payrolls[[#This Row],[Wins]]/mlb_payrolls[[#This Row],[Games]], "")</f>
        <v>0.60493827160493829</v>
      </c>
      <c r="O402" s="1">
        <f>IFERROR(VALUE(mlb_payrolls[[#This Row],[Total Payroll Allocations]])/VALUE(mlb_payrolls[[#This Row],[Wins]]),"")</f>
        <v>2451429.7653061226</v>
      </c>
      <c r="P402" s="1">
        <f>SUM(mlb_payrolls[[#This Row],[Active 26-Man]],mlb_payrolls[[#This Row],[Injured]],mlb_payrolls[[#This Row],[Retained]],mlb_payrolls[[#This Row],[Buried]])</f>
        <v>237029149</v>
      </c>
      <c r="Q402" s="1">
        <f>mlb_payrolls[[#This Row],[Total Payroll Allocations]]-mlb_payrolls[[#This Row],[Payroll Parts Sum]]</f>
        <v>3210968</v>
      </c>
      <c r="R402" s="2">
        <f>IF(mlb_payrolls[[#This Row],[Total Payroll Allocations]]&gt;0, mlb_payrolls[[#This Row],[Active 26-Man]]/mlb_payrolls[[#This Row],[Total Payroll Allocations]],"")</f>
        <v>0.70565554627997451</v>
      </c>
      <c r="S402" s="2">
        <f>IF(mlb_payrolls[[#This Row],[Total Payroll Allocations]]&gt;0,mlb_payrolls[[#This Row],[Injured]]/mlb_payrolls[[#This Row],[Total Payroll Allocations]])</f>
        <v>0.1579628601329727</v>
      </c>
      <c r="T402" s="3">
        <f>IF(mlb_payrolls[[#This Row],[Total Payroll Allocations]]&gt;0,mlb_payrolls[[#This Row],[Retained]]/mlb_payrolls[[#This Row],[Total Payroll Allocations]])</f>
        <v>0.11532820307442658</v>
      </c>
      <c r="U402" s="3">
        <f>IF(mlb_payrolls[[#This Row],[Total Payroll Allocations]]&gt;0,mlb_payrolls[[#This Row],[Buried]]/mlb_payrolls[[#This Row],[Total Payroll Allocations]])</f>
        <v>7.687729356209063E-3</v>
      </c>
      <c r="V402">
        <f>IF(mlb_payrolls[[#This Row],[Postseason]]="No Playoffs",0,1)</f>
        <v>1</v>
      </c>
    </row>
    <row r="403" spans="1:22" x14ac:dyDescent="0.3">
      <c r="A403" t="s">
        <v>51</v>
      </c>
      <c r="B403" t="s">
        <v>52</v>
      </c>
      <c r="C403">
        <v>2023</v>
      </c>
      <c r="D403">
        <v>30</v>
      </c>
      <c r="E403" s="1">
        <v>240278296</v>
      </c>
      <c r="F403" s="1">
        <v>149705968</v>
      </c>
      <c r="G403" s="1">
        <v>33764202</v>
      </c>
      <c r="H403" s="1">
        <v>34802727</v>
      </c>
      <c r="I403" s="1">
        <v>1290369</v>
      </c>
      <c r="J403">
        <v>100</v>
      </c>
      <c r="K403">
        <v>62</v>
      </c>
      <c r="L403" t="s">
        <v>24</v>
      </c>
      <c r="M403">
        <f>mlb_payrolls[[#This Row],[Wins]] + mlb_payrolls[[#This Row],[Losses]]</f>
        <v>162</v>
      </c>
      <c r="N403" s="2">
        <f>IF(mlb_payrolls[[#This Row],[Games]] &gt;0, mlb_payrolls[[#This Row],[Wins]]/mlb_payrolls[[#This Row],[Games]], "")</f>
        <v>0.61728395061728392</v>
      </c>
      <c r="O403" s="1">
        <f>IFERROR(VALUE(mlb_payrolls[[#This Row],[Total Payroll Allocations]])/VALUE(mlb_payrolls[[#This Row],[Wins]]),"")</f>
        <v>2402782.96</v>
      </c>
      <c r="P403" s="1">
        <f>SUM(mlb_payrolls[[#This Row],[Active 26-Man]],mlb_payrolls[[#This Row],[Injured]],mlb_payrolls[[#This Row],[Retained]],mlb_payrolls[[#This Row],[Buried]])</f>
        <v>219563266</v>
      </c>
      <c r="Q403" s="1">
        <f>mlb_payrolls[[#This Row],[Total Payroll Allocations]]-mlb_payrolls[[#This Row],[Payroll Parts Sum]]</f>
        <v>20715030</v>
      </c>
      <c r="R403" s="2">
        <f>IF(mlb_payrolls[[#This Row],[Total Payroll Allocations]]&gt;0, mlb_payrolls[[#This Row],[Active 26-Man]]/mlb_payrolls[[#This Row],[Total Payroll Allocations]],"")</f>
        <v>0.62305239587682115</v>
      </c>
      <c r="S403" s="2">
        <f>IF(mlb_payrolls[[#This Row],[Total Payroll Allocations]]&gt;0,mlb_payrolls[[#This Row],[Injured]]/mlb_payrolls[[#This Row],[Total Payroll Allocations]])</f>
        <v>0.14052123126426699</v>
      </c>
      <c r="T403" s="3">
        <f>IF(mlb_payrolls[[#This Row],[Total Payroll Allocations]]&gt;0,mlb_payrolls[[#This Row],[Retained]]/mlb_payrolls[[#This Row],[Total Payroll Allocations]])</f>
        <v>0.14484340691345671</v>
      </c>
      <c r="U403" s="3">
        <f>IF(mlb_payrolls[[#This Row],[Total Payroll Allocations]]&gt;0,mlb_payrolls[[#This Row],[Buried]]/mlb_payrolls[[#This Row],[Total Payroll Allocations]])</f>
        <v>5.3703102672244688E-3</v>
      </c>
      <c r="V403">
        <f>IF(mlb_payrolls[[#This Row],[Postseason]]="No Playoffs",0,1)</f>
        <v>1</v>
      </c>
    </row>
    <row r="404" spans="1:22" x14ac:dyDescent="0.3">
      <c r="A404" t="s">
        <v>51</v>
      </c>
      <c r="B404" t="s">
        <v>52</v>
      </c>
      <c r="C404">
        <v>2014</v>
      </c>
      <c r="D404">
        <v>28.9</v>
      </c>
      <c r="E404" s="1">
        <v>241557818</v>
      </c>
      <c r="F404" s="1">
        <v>235557818</v>
      </c>
      <c r="G404" s="1">
        <v>0</v>
      </c>
      <c r="H404" s="1">
        <v>3000000</v>
      </c>
      <c r="I404" s="1">
        <v>3000000</v>
      </c>
      <c r="J404">
        <v>94</v>
      </c>
      <c r="K404">
        <v>68</v>
      </c>
      <c r="L404" t="s">
        <v>24</v>
      </c>
      <c r="M404">
        <f>mlb_payrolls[[#This Row],[Wins]] + mlb_payrolls[[#This Row],[Losses]]</f>
        <v>162</v>
      </c>
      <c r="N404" s="2">
        <f>IF(mlb_payrolls[[#This Row],[Games]] &gt;0, mlb_payrolls[[#This Row],[Wins]]/mlb_payrolls[[#This Row],[Games]], "")</f>
        <v>0.58024691358024694</v>
      </c>
      <c r="O404" s="1">
        <f>IFERROR(VALUE(mlb_payrolls[[#This Row],[Total Payroll Allocations]])/VALUE(mlb_payrolls[[#This Row],[Wins]]),"")</f>
        <v>2569764.0212765955</v>
      </c>
      <c r="P404" s="1">
        <f>SUM(mlb_payrolls[[#This Row],[Active 26-Man]],mlb_payrolls[[#This Row],[Injured]],mlb_payrolls[[#This Row],[Retained]],mlb_payrolls[[#This Row],[Buried]])</f>
        <v>241557818</v>
      </c>
      <c r="Q404" s="1">
        <f>mlb_payrolls[[#This Row],[Total Payroll Allocations]]-mlb_payrolls[[#This Row],[Payroll Parts Sum]]</f>
        <v>0</v>
      </c>
      <c r="R404" s="2">
        <f>IF(mlb_payrolls[[#This Row],[Total Payroll Allocations]]&gt;0, mlb_payrolls[[#This Row],[Active 26-Man]]/mlb_payrolls[[#This Row],[Total Payroll Allocations]],"")</f>
        <v>0.97516122620382339</v>
      </c>
      <c r="S404" s="2">
        <f>IF(mlb_payrolls[[#This Row],[Total Payroll Allocations]]&gt;0,mlb_payrolls[[#This Row],[Injured]]/mlb_payrolls[[#This Row],[Total Payroll Allocations]])</f>
        <v>0</v>
      </c>
      <c r="T404" s="3">
        <f>IF(mlb_payrolls[[#This Row],[Total Payroll Allocations]]&gt;0,mlb_payrolls[[#This Row],[Retained]]/mlb_payrolls[[#This Row],[Total Payroll Allocations]])</f>
        <v>1.2419386898088308E-2</v>
      </c>
      <c r="U404" s="3">
        <f>IF(mlb_payrolls[[#This Row],[Total Payroll Allocations]]&gt;0,mlb_payrolls[[#This Row],[Buried]]/mlb_payrolls[[#This Row],[Total Payroll Allocations]])</f>
        <v>1.2419386898088308E-2</v>
      </c>
      <c r="V404">
        <f>IF(mlb_payrolls[[#This Row],[Postseason]]="No Playoffs",0,1)</f>
        <v>1</v>
      </c>
    </row>
    <row r="405" spans="1:22" x14ac:dyDescent="0.3">
      <c r="A405" t="s">
        <v>55</v>
      </c>
      <c r="B405" t="s">
        <v>56</v>
      </c>
      <c r="C405">
        <v>2022</v>
      </c>
      <c r="D405">
        <v>28.3</v>
      </c>
      <c r="E405" s="1">
        <v>244484097</v>
      </c>
      <c r="F405" s="1">
        <v>158569333</v>
      </c>
      <c r="G405" s="1">
        <v>11897332</v>
      </c>
      <c r="H405" s="1">
        <v>30945214</v>
      </c>
      <c r="I405" s="1">
        <v>9883756</v>
      </c>
      <c r="J405">
        <v>87</v>
      </c>
      <c r="K405">
        <v>75</v>
      </c>
      <c r="L405" t="s">
        <v>21</v>
      </c>
      <c r="M405">
        <f>mlb_payrolls[[#This Row],[Wins]] + mlb_payrolls[[#This Row],[Losses]]</f>
        <v>162</v>
      </c>
      <c r="N405" s="2">
        <f>IF(mlb_payrolls[[#This Row],[Games]] &gt;0, mlb_payrolls[[#This Row],[Wins]]/mlb_payrolls[[#This Row],[Games]], "")</f>
        <v>0.53703703703703709</v>
      </c>
      <c r="O405" s="1">
        <f>IFERROR(VALUE(mlb_payrolls[[#This Row],[Total Payroll Allocations]])/VALUE(mlb_payrolls[[#This Row],[Wins]]),"")</f>
        <v>2810162.0344827585</v>
      </c>
      <c r="P405" s="1">
        <f>SUM(mlb_payrolls[[#This Row],[Active 26-Man]],mlb_payrolls[[#This Row],[Injured]],mlb_payrolls[[#This Row],[Retained]],mlb_payrolls[[#This Row],[Buried]])</f>
        <v>211295635</v>
      </c>
      <c r="Q405" s="1">
        <f>mlb_payrolls[[#This Row],[Total Payroll Allocations]]-mlb_payrolls[[#This Row],[Payroll Parts Sum]]</f>
        <v>33188462</v>
      </c>
      <c r="R405" s="2">
        <f>IF(mlb_payrolls[[#This Row],[Total Payroll Allocations]]&gt;0, mlb_payrolls[[#This Row],[Active 26-Man]]/mlb_payrolls[[#This Row],[Total Payroll Allocations]],"")</f>
        <v>0.6485875152852989</v>
      </c>
      <c r="S405" s="2">
        <f>IF(mlb_payrolls[[#This Row],[Total Payroll Allocations]]&gt;0,mlb_payrolls[[#This Row],[Injured]]/mlb_payrolls[[#This Row],[Total Payroll Allocations]])</f>
        <v>4.8663009766234409E-2</v>
      </c>
      <c r="T405" s="3">
        <f>IF(mlb_payrolls[[#This Row],[Total Payroll Allocations]]&gt;0,mlb_payrolls[[#This Row],[Retained]]/mlb_payrolls[[#This Row],[Total Payroll Allocations]])</f>
        <v>0.12657352514834533</v>
      </c>
      <c r="U405" s="3">
        <f>IF(mlb_payrolls[[#This Row],[Total Payroll Allocations]]&gt;0,mlb_payrolls[[#This Row],[Buried]]/mlb_payrolls[[#This Row],[Total Payroll Allocations]])</f>
        <v>4.0426989408640347E-2</v>
      </c>
      <c r="V405">
        <f>IF(mlb_payrolls[[#This Row],[Postseason]]="No Playoffs",0,1)</f>
        <v>1</v>
      </c>
    </row>
    <row r="406" spans="1:22" x14ac:dyDescent="0.3">
      <c r="A406" t="s">
        <v>55</v>
      </c>
      <c r="B406" t="s">
        <v>56</v>
      </c>
      <c r="C406">
        <v>2023</v>
      </c>
      <c r="D406">
        <v>28.4</v>
      </c>
      <c r="E406" s="1">
        <v>245419295</v>
      </c>
      <c r="F406" s="1">
        <v>218609553</v>
      </c>
      <c r="G406" s="1">
        <v>12530327</v>
      </c>
      <c r="H406" s="1">
        <v>3345770</v>
      </c>
      <c r="I406" s="1">
        <v>10933645</v>
      </c>
      <c r="J406">
        <v>90</v>
      </c>
      <c r="K406">
        <v>72</v>
      </c>
      <c r="L406" t="s">
        <v>21</v>
      </c>
      <c r="M406">
        <f>mlb_payrolls[[#This Row],[Wins]] + mlb_payrolls[[#This Row],[Losses]]</f>
        <v>162</v>
      </c>
      <c r="N406" s="2">
        <f>IF(mlb_payrolls[[#This Row],[Games]] &gt;0, mlb_payrolls[[#This Row],[Wins]]/mlb_payrolls[[#This Row],[Games]], "")</f>
        <v>0.55555555555555558</v>
      </c>
      <c r="O406" s="1">
        <f>IFERROR(VALUE(mlb_payrolls[[#This Row],[Total Payroll Allocations]])/VALUE(mlb_payrolls[[#This Row],[Wins]]),"")</f>
        <v>2726881.0555555555</v>
      </c>
      <c r="P406" s="1">
        <f>SUM(mlb_payrolls[[#This Row],[Active 26-Man]],mlb_payrolls[[#This Row],[Injured]],mlb_payrolls[[#This Row],[Retained]],mlb_payrolls[[#This Row],[Buried]])</f>
        <v>245419295</v>
      </c>
      <c r="Q406" s="1">
        <f>mlb_payrolls[[#This Row],[Total Payroll Allocations]]-mlb_payrolls[[#This Row],[Payroll Parts Sum]]</f>
        <v>0</v>
      </c>
      <c r="R406" s="2">
        <f>IF(mlb_payrolls[[#This Row],[Total Payroll Allocations]]&gt;0, mlb_payrolls[[#This Row],[Active 26-Man]]/mlb_payrolls[[#This Row],[Total Payroll Allocations]],"")</f>
        <v>0.89075943682423175</v>
      </c>
      <c r="S406" s="2">
        <f>IF(mlb_payrolls[[#This Row],[Total Payroll Allocations]]&gt;0,mlb_payrolls[[#This Row],[Injured]]/mlb_payrolls[[#This Row],[Total Payroll Allocations]])</f>
        <v>5.1056812790534666E-2</v>
      </c>
      <c r="T406" s="3">
        <f>IF(mlb_payrolls[[#This Row],[Total Payroll Allocations]]&gt;0,mlb_payrolls[[#This Row],[Retained]]/mlb_payrolls[[#This Row],[Total Payroll Allocations]])</f>
        <v>1.3632872672052945E-2</v>
      </c>
      <c r="U406" s="3">
        <f>IF(mlb_payrolls[[#This Row],[Total Payroll Allocations]]&gt;0,mlb_payrolls[[#This Row],[Buried]]/mlb_payrolls[[#This Row],[Total Payroll Allocations]])</f>
        <v>4.4550877713180621E-2</v>
      </c>
      <c r="V406">
        <f>IF(mlb_payrolls[[#This Row],[Postseason]]="No Playoffs",0,1)</f>
        <v>1</v>
      </c>
    </row>
    <row r="407" spans="1:22" x14ac:dyDescent="0.3">
      <c r="A407" t="s">
        <v>55</v>
      </c>
      <c r="B407" t="s">
        <v>56</v>
      </c>
      <c r="C407">
        <v>2024</v>
      </c>
      <c r="D407">
        <v>29</v>
      </c>
      <c r="E407" s="1">
        <v>246299605</v>
      </c>
      <c r="F407" s="1">
        <v>226211338</v>
      </c>
      <c r="G407" s="1">
        <v>3031516</v>
      </c>
      <c r="H407" s="1">
        <v>15356883</v>
      </c>
      <c r="I407" s="1">
        <v>1699868</v>
      </c>
      <c r="J407">
        <v>95</v>
      </c>
      <c r="K407">
        <v>67</v>
      </c>
      <c r="L407" t="s">
        <v>24</v>
      </c>
      <c r="M407">
        <f>mlb_payrolls[[#This Row],[Wins]] + mlb_payrolls[[#This Row],[Losses]]</f>
        <v>162</v>
      </c>
      <c r="N407" s="2">
        <f>IF(mlb_payrolls[[#This Row],[Games]] &gt;0, mlb_payrolls[[#This Row],[Wins]]/mlb_payrolls[[#This Row],[Games]], "")</f>
        <v>0.5864197530864198</v>
      </c>
      <c r="O407" s="1">
        <f>IFERROR(VALUE(mlb_payrolls[[#This Row],[Total Payroll Allocations]])/VALUE(mlb_payrolls[[#This Row],[Wins]]),"")</f>
        <v>2592627.4210526315</v>
      </c>
      <c r="P407" s="1">
        <f>SUM(mlb_payrolls[[#This Row],[Active 26-Man]],mlb_payrolls[[#This Row],[Injured]],mlb_payrolls[[#This Row],[Retained]],mlb_payrolls[[#This Row],[Buried]])</f>
        <v>246299605</v>
      </c>
      <c r="Q407" s="1">
        <f>mlb_payrolls[[#This Row],[Total Payroll Allocations]]-mlb_payrolls[[#This Row],[Payroll Parts Sum]]</f>
        <v>0</v>
      </c>
      <c r="R407" s="2">
        <f>IF(mlb_payrolls[[#This Row],[Total Payroll Allocations]]&gt;0, mlb_payrolls[[#This Row],[Active 26-Man]]/mlb_payrolls[[#This Row],[Total Payroll Allocations]],"")</f>
        <v>0.9184397108554031</v>
      </c>
      <c r="S407" s="2">
        <f>IF(mlb_payrolls[[#This Row],[Total Payroll Allocations]]&gt;0,mlb_payrolls[[#This Row],[Injured]]/mlb_payrolls[[#This Row],[Total Payroll Allocations]])</f>
        <v>1.230824548013384E-2</v>
      </c>
      <c r="T407" s="3">
        <f>IF(mlb_payrolls[[#This Row],[Total Payroll Allocations]]&gt;0,mlb_payrolls[[#This Row],[Retained]]/mlb_payrolls[[#This Row],[Total Payroll Allocations]])</f>
        <v>6.23504166805302E-2</v>
      </c>
      <c r="U407" s="3">
        <f>IF(mlb_payrolls[[#This Row],[Total Payroll Allocations]]&gt;0,mlb_payrolls[[#This Row],[Buried]]/mlb_payrolls[[#This Row],[Total Payroll Allocations]])</f>
        <v>6.9016269839328407E-3</v>
      </c>
      <c r="V407">
        <f>IF(mlb_payrolls[[#This Row],[Postseason]]="No Playoffs",0,1)</f>
        <v>1</v>
      </c>
    </row>
    <row r="408" spans="1:22" x14ac:dyDescent="0.3">
      <c r="A408" t="s">
        <v>63</v>
      </c>
      <c r="B408" t="s">
        <v>64</v>
      </c>
      <c r="C408">
        <v>2023</v>
      </c>
      <c r="D408">
        <v>29.2</v>
      </c>
      <c r="E408" s="1">
        <v>251332754</v>
      </c>
      <c r="F408" s="1">
        <v>148828188</v>
      </c>
      <c r="G408" s="1">
        <v>96208979</v>
      </c>
      <c r="H408" s="1">
        <v>4993881</v>
      </c>
      <c r="I408" s="1">
        <v>1301706</v>
      </c>
      <c r="J408">
        <v>90</v>
      </c>
      <c r="K408">
        <v>72</v>
      </c>
      <c r="L408" t="s">
        <v>14</v>
      </c>
      <c r="M408">
        <f>mlb_payrolls[[#This Row],[Wins]] + mlb_payrolls[[#This Row],[Losses]]</f>
        <v>162</v>
      </c>
      <c r="N408" s="2">
        <f>IF(mlb_payrolls[[#This Row],[Games]] &gt;0, mlb_payrolls[[#This Row],[Wins]]/mlb_payrolls[[#This Row],[Games]], "")</f>
        <v>0.55555555555555558</v>
      </c>
      <c r="O408" s="1">
        <f>IFERROR(VALUE(mlb_payrolls[[#This Row],[Total Payroll Allocations]])/VALUE(mlb_payrolls[[#This Row],[Wins]]),"")</f>
        <v>2792586.1555555556</v>
      </c>
      <c r="P408" s="1">
        <f>SUM(mlb_payrolls[[#This Row],[Active 26-Man]],mlb_payrolls[[#This Row],[Injured]],mlb_payrolls[[#This Row],[Retained]],mlb_payrolls[[#This Row],[Buried]])</f>
        <v>251332754</v>
      </c>
      <c r="Q408" s="1">
        <f>mlb_payrolls[[#This Row],[Total Payroll Allocations]]-mlb_payrolls[[#This Row],[Payroll Parts Sum]]</f>
        <v>0</v>
      </c>
      <c r="R408" s="2">
        <f>IF(mlb_payrolls[[#This Row],[Total Payroll Allocations]]&gt;0, mlb_payrolls[[#This Row],[Active 26-Man]]/mlb_payrolls[[#This Row],[Total Payroll Allocations]],"")</f>
        <v>0.59215595910750252</v>
      </c>
      <c r="S408" s="2">
        <f>IF(mlb_payrolls[[#This Row],[Total Payroll Allocations]]&gt;0,mlb_payrolls[[#This Row],[Injured]]/mlb_payrolls[[#This Row],[Total Payroll Allocations]])</f>
        <v>0.38279522851207848</v>
      </c>
      <c r="T408" s="3">
        <f>IF(mlb_payrolls[[#This Row],[Total Payroll Allocations]]&gt;0,mlb_payrolls[[#This Row],[Retained]]/mlb_payrolls[[#This Row],[Total Payroll Allocations]])</f>
        <v>1.9869598850613797E-2</v>
      </c>
      <c r="U408" s="3">
        <f>IF(mlb_payrolls[[#This Row],[Total Payroll Allocations]]&gt;0,mlb_payrolls[[#This Row],[Buried]]/mlb_payrolls[[#This Row],[Total Payroll Allocations]])</f>
        <v>5.1792135298051921E-3</v>
      </c>
      <c r="V408">
        <f>IF(mlb_payrolls[[#This Row],[Postseason]]="No Playoffs",0,1)</f>
        <v>0</v>
      </c>
    </row>
    <row r="409" spans="1:22" x14ac:dyDescent="0.3">
      <c r="A409" t="s">
        <v>71</v>
      </c>
      <c r="B409" t="s">
        <v>72</v>
      </c>
      <c r="C409">
        <v>2022</v>
      </c>
      <c r="D409">
        <v>29.6</v>
      </c>
      <c r="E409" s="1">
        <v>252957200</v>
      </c>
      <c r="F409" s="1">
        <v>214676803</v>
      </c>
      <c r="G409" s="1">
        <v>25203665</v>
      </c>
      <c r="H409" s="1">
        <v>12115094</v>
      </c>
      <c r="I409" s="1">
        <v>961638</v>
      </c>
      <c r="J409">
        <v>99</v>
      </c>
      <c r="K409">
        <v>63</v>
      </c>
      <c r="L409" t="s">
        <v>24</v>
      </c>
      <c r="M409">
        <f>mlb_payrolls[[#This Row],[Wins]] + mlb_payrolls[[#This Row],[Losses]]</f>
        <v>162</v>
      </c>
      <c r="N409" s="2">
        <f>IF(mlb_payrolls[[#This Row],[Games]] &gt;0, mlb_payrolls[[#This Row],[Wins]]/mlb_payrolls[[#This Row],[Games]], "")</f>
        <v>0.61111111111111116</v>
      </c>
      <c r="O409" s="1">
        <f>IFERROR(VALUE(mlb_payrolls[[#This Row],[Total Payroll Allocations]])/VALUE(mlb_payrolls[[#This Row],[Wins]]),"")</f>
        <v>2555123.2323232321</v>
      </c>
      <c r="P409" s="1">
        <f>SUM(mlb_payrolls[[#This Row],[Active 26-Man]],mlb_payrolls[[#This Row],[Injured]],mlb_payrolls[[#This Row],[Retained]],mlb_payrolls[[#This Row],[Buried]])</f>
        <v>252957200</v>
      </c>
      <c r="Q409" s="1">
        <f>mlb_payrolls[[#This Row],[Total Payroll Allocations]]-mlb_payrolls[[#This Row],[Payroll Parts Sum]]</f>
        <v>0</v>
      </c>
      <c r="R409" s="2">
        <f>IF(mlb_payrolls[[#This Row],[Total Payroll Allocations]]&gt;0, mlb_payrolls[[#This Row],[Active 26-Man]]/mlb_payrolls[[#This Row],[Total Payroll Allocations]],"")</f>
        <v>0.84866848225707747</v>
      </c>
      <c r="S409" s="2">
        <f>IF(mlb_payrolls[[#This Row],[Total Payroll Allocations]]&gt;0,mlb_payrolls[[#This Row],[Injured]]/mlb_payrolls[[#This Row],[Total Payroll Allocations]])</f>
        <v>9.9636084681519244E-2</v>
      </c>
      <c r="T409" s="3">
        <f>IF(mlb_payrolls[[#This Row],[Total Payroll Allocations]]&gt;0,mlb_payrolls[[#This Row],[Retained]]/mlb_payrolls[[#This Row],[Total Payroll Allocations]])</f>
        <v>4.7893849236155368E-2</v>
      </c>
      <c r="U409" s="3">
        <f>IF(mlb_payrolls[[#This Row],[Total Payroll Allocations]]&gt;0,mlb_payrolls[[#This Row],[Buried]]/mlb_payrolls[[#This Row],[Total Payroll Allocations]])</f>
        <v>3.8015838252479076E-3</v>
      </c>
      <c r="V409">
        <f>IF(mlb_payrolls[[#This Row],[Postseason]]="No Playoffs",0,1)</f>
        <v>1</v>
      </c>
    </row>
    <row r="410" spans="1:22" x14ac:dyDescent="0.3">
      <c r="A410" t="s">
        <v>41</v>
      </c>
      <c r="B410" t="s">
        <v>42</v>
      </c>
      <c r="C410">
        <v>2023</v>
      </c>
      <c r="D410">
        <v>29.2</v>
      </c>
      <c r="E410" s="1">
        <v>253450531</v>
      </c>
      <c r="F410" s="1">
        <v>163098555</v>
      </c>
      <c r="G410" s="1">
        <v>71689912</v>
      </c>
      <c r="H410" s="1">
        <v>16420993</v>
      </c>
      <c r="I410" s="1">
        <v>716071</v>
      </c>
      <c r="J410">
        <v>82</v>
      </c>
      <c r="K410">
        <v>80</v>
      </c>
      <c r="L410" t="s">
        <v>14</v>
      </c>
      <c r="M410">
        <f>mlb_payrolls[[#This Row],[Wins]] + mlb_payrolls[[#This Row],[Losses]]</f>
        <v>162</v>
      </c>
      <c r="N410" s="2">
        <f>IF(mlb_payrolls[[#This Row],[Games]] &gt;0, mlb_payrolls[[#This Row],[Wins]]/mlb_payrolls[[#This Row],[Games]], "")</f>
        <v>0.50617283950617287</v>
      </c>
      <c r="O410" s="1">
        <f>IFERROR(VALUE(mlb_payrolls[[#This Row],[Total Payroll Allocations]])/VALUE(mlb_payrolls[[#This Row],[Wins]]),"")</f>
        <v>3090860.1341463416</v>
      </c>
      <c r="P410" s="1">
        <f>SUM(mlb_payrolls[[#This Row],[Active 26-Man]],mlb_payrolls[[#This Row],[Injured]],mlb_payrolls[[#This Row],[Retained]],mlb_payrolls[[#This Row],[Buried]])</f>
        <v>251925531</v>
      </c>
      <c r="Q410" s="1">
        <f>mlb_payrolls[[#This Row],[Total Payroll Allocations]]-mlb_payrolls[[#This Row],[Payroll Parts Sum]]</f>
        <v>1525000</v>
      </c>
      <c r="R410" s="2">
        <f>IF(mlb_payrolls[[#This Row],[Total Payroll Allocations]]&gt;0, mlb_payrolls[[#This Row],[Active 26-Man]]/mlb_payrolls[[#This Row],[Total Payroll Allocations]],"")</f>
        <v>0.64351238230390606</v>
      </c>
      <c r="S410" s="2">
        <f>IF(mlb_payrolls[[#This Row],[Total Payroll Allocations]]&gt;0,mlb_payrolls[[#This Row],[Injured]]/mlb_payrolls[[#This Row],[Total Payroll Allocations]])</f>
        <v>0.28285563939102576</v>
      </c>
      <c r="T410" s="3">
        <f>IF(mlb_payrolls[[#This Row],[Total Payroll Allocations]]&gt;0,mlb_payrolls[[#This Row],[Retained]]/mlb_payrolls[[#This Row],[Total Payroll Allocations]])</f>
        <v>6.4789736029395029E-2</v>
      </c>
      <c r="U410" s="3">
        <f>IF(mlb_payrolls[[#This Row],[Total Payroll Allocations]]&gt;0,mlb_payrolls[[#This Row],[Buried]]/mlb_payrolls[[#This Row],[Total Payroll Allocations]])</f>
        <v>2.8252890107379573E-3</v>
      </c>
      <c r="V410">
        <f>IF(mlb_payrolls[[#This Row],[Postseason]]="No Playoffs",0,1)</f>
        <v>0</v>
      </c>
    </row>
    <row r="411" spans="1:22" x14ac:dyDescent="0.3">
      <c r="A411" t="s">
        <v>65</v>
      </c>
      <c r="B411" t="s">
        <v>66</v>
      </c>
      <c r="C411">
        <v>2024</v>
      </c>
      <c r="D411">
        <v>29.2</v>
      </c>
      <c r="E411" s="1">
        <v>255271371</v>
      </c>
      <c r="F411" s="1">
        <v>174853862</v>
      </c>
      <c r="G411" s="1">
        <v>45109866</v>
      </c>
      <c r="H411" s="1">
        <v>21665317</v>
      </c>
      <c r="I411" s="1">
        <v>13642326</v>
      </c>
      <c r="J411">
        <v>88</v>
      </c>
      <c r="K411">
        <v>73</v>
      </c>
      <c r="L411" t="s">
        <v>24</v>
      </c>
      <c r="M411">
        <f>mlb_payrolls[[#This Row],[Wins]] + mlb_payrolls[[#This Row],[Losses]]</f>
        <v>161</v>
      </c>
      <c r="N411" s="2">
        <f>IF(mlb_payrolls[[#This Row],[Games]] &gt;0, mlb_payrolls[[#This Row],[Wins]]/mlb_payrolls[[#This Row],[Games]], "")</f>
        <v>0.54658385093167705</v>
      </c>
      <c r="O411" s="1">
        <f>IFERROR(VALUE(mlb_payrolls[[#This Row],[Total Payroll Allocations]])/VALUE(mlb_payrolls[[#This Row],[Wins]]),"")</f>
        <v>2900811.0340909092</v>
      </c>
      <c r="P411" s="1">
        <f>SUM(mlb_payrolls[[#This Row],[Active 26-Man]],mlb_payrolls[[#This Row],[Injured]],mlb_payrolls[[#This Row],[Retained]],mlb_payrolls[[#This Row],[Buried]])</f>
        <v>255271371</v>
      </c>
      <c r="Q411" s="1">
        <f>mlb_payrolls[[#This Row],[Total Payroll Allocations]]-mlb_payrolls[[#This Row],[Payroll Parts Sum]]</f>
        <v>0</v>
      </c>
      <c r="R411" s="2">
        <f>IF(mlb_payrolls[[#This Row],[Total Payroll Allocations]]&gt;0, mlb_payrolls[[#This Row],[Active 26-Man]]/mlb_payrolls[[#This Row],[Total Payroll Allocations]],"")</f>
        <v>0.68497247190324373</v>
      </c>
      <c r="S411" s="2">
        <f>IF(mlb_payrolls[[#This Row],[Total Payroll Allocations]]&gt;0,mlb_payrolls[[#This Row],[Injured]]/mlb_payrolls[[#This Row],[Total Payroll Allocations]])</f>
        <v>0.17671337691840108</v>
      </c>
      <c r="T411" s="3">
        <f>IF(mlb_payrolls[[#This Row],[Total Payroll Allocations]]&gt;0,mlb_payrolls[[#This Row],[Retained]]/mlb_payrolls[[#This Row],[Total Payroll Allocations]])</f>
        <v>8.487170698041184E-2</v>
      </c>
      <c r="U411" s="3">
        <f>IF(mlb_payrolls[[#This Row],[Total Payroll Allocations]]&gt;0,mlb_payrolls[[#This Row],[Buried]]/mlb_payrolls[[#This Row],[Total Payroll Allocations]])</f>
        <v>5.3442444197943376E-2</v>
      </c>
      <c r="V411">
        <f>IF(mlb_payrolls[[#This Row],[Postseason]]="No Playoffs",0,1)</f>
        <v>1</v>
      </c>
    </row>
    <row r="412" spans="1:22" x14ac:dyDescent="0.3">
      <c r="A412" t="s">
        <v>51</v>
      </c>
      <c r="B412" t="s">
        <v>52</v>
      </c>
      <c r="C412">
        <v>2017</v>
      </c>
      <c r="D412">
        <v>28.4</v>
      </c>
      <c r="E412" s="1">
        <v>259311393</v>
      </c>
      <c r="F412" s="1">
        <v>182501228</v>
      </c>
      <c r="G412" s="1">
        <v>22654516</v>
      </c>
      <c r="H412" s="1">
        <v>41492656</v>
      </c>
      <c r="I412" s="1">
        <v>10735130</v>
      </c>
      <c r="J412">
        <v>104</v>
      </c>
      <c r="K412">
        <v>58</v>
      </c>
      <c r="L412" t="s">
        <v>24</v>
      </c>
      <c r="M412">
        <f>mlb_payrolls[[#This Row],[Wins]] + mlb_payrolls[[#This Row],[Losses]]</f>
        <v>162</v>
      </c>
      <c r="N412" s="2">
        <f>IF(mlb_payrolls[[#This Row],[Games]] &gt;0, mlb_payrolls[[#This Row],[Wins]]/mlb_payrolls[[#This Row],[Games]], "")</f>
        <v>0.64197530864197527</v>
      </c>
      <c r="O412" s="1">
        <f>IFERROR(VALUE(mlb_payrolls[[#This Row],[Total Payroll Allocations]])/VALUE(mlb_payrolls[[#This Row],[Wins]]),"")</f>
        <v>2493378.778846154</v>
      </c>
      <c r="P412" s="1">
        <f>SUM(mlb_payrolls[[#This Row],[Active 26-Man]],mlb_payrolls[[#This Row],[Injured]],mlb_payrolls[[#This Row],[Retained]],mlb_payrolls[[#This Row],[Buried]])</f>
        <v>257383530</v>
      </c>
      <c r="Q412" s="1">
        <f>mlb_payrolls[[#This Row],[Total Payroll Allocations]]-mlb_payrolls[[#This Row],[Payroll Parts Sum]]</f>
        <v>1927863</v>
      </c>
      <c r="R412" s="2">
        <f>IF(mlb_payrolls[[#This Row],[Total Payroll Allocations]]&gt;0, mlb_payrolls[[#This Row],[Active 26-Man]]/mlb_payrolls[[#This Row],[Total Payroll Allocations]],"")</f>
        <v>0.70379178442036294</v>
      </c>
      <c r="S412" s="2">
        <f>IF(mlb_payrolls[[#This Row],[Total Payroll Allocations]]&gt;0,mlb_payrolls[[#This Row],[Injured]]/mlb_payrolls[[#This Row],[Total Payroll Allocations]])</f>
        <v>8.7364136754299881E-2</v>
      </c>
      <c r="T412" s="3">
        <f>IF(mlb_payrolls[[#This Row],[Total Payroll Allocations]]&gt;0,mlb_payrolls[[#This Row],[Retained]]/mlb_payrolls[[#This Row],[Total Payroll Allocations]])</f>
        <v>0.16001092555158192</v>
      </c>
      <c r="U412" s="3">
        <f>IF(mlb_payrolls[[#This Row],[Total Payroll Allocations]]&gt;0,mlb_payrolls[[#This Row],[Buried]]/mlb_payrolls[[#This Row],[Total Payroll Allocations]])</f>
        <v>4.1398605266834532E-2</v>
      </c>
      <c r="V412">
        <f>IF(mlb_payrolls[[#This Row],[Postseason]]="No Playoffs",0,1)</f>
        <v>1</v>
      </c>
    </row>
    <row r="413" spans="1:22" x14ac:dyDescent="0.3">
      <c r="A413" t="s">
        <v>73</v>
      </c>
      <c r="B413" t="s">
        <v>74</v>
      </c>
      <c r="C413">
        <v>2022</v>
      </c>
      <c r="D413">
        <v>30.1</v>
      </c>
      <c r="E413" s="1">
        <v>264342506</v>
      </c>
      <c r="F413" s="1">
        <v>222412889</v>
      </c>
      <c r="G413" s="1">
        <v>4155954</v>
      </c>
      <c r="H413" s="1">
        <v>28130999</v>
      </c>
      <c r="I413" s="1">
        <v>992664</v>
      </c>
      <c r="J413">
        <v>101</v>
      </c>
      <c r="K413">
        <v>61</v>
      </c>
      <c r="L413" t="s">
        <v>21</v>
      </c>
      <c r="M413">
        <f>mlb_payrolls[[#This Row],[Wins]] + mlb_payrolls[[#This Row],[Losses]]</f>
        <v>162</v>
      </c>
      <c r="N413" s="2">
        <f>IF(mlb_payrolls[[#This Row],[Games]] &gt;0, mlb_payrolls[[#This Row],[Wins]]/mlb_payrolls[[#This Row],[Games]], "")</f>
        <v>0.62345679012345678</v>
      </c>
      <c r="O413" s="1">
        <f>IFERROR(VALUE(mlb_payrolls[[#This Row],[Total Payroll Allocations]])/VALUE(mlb_payrolls[[#This Row],[Wins]]),"")</f>
        <v>2617252.5346534653</v>
      </c>
      <c r="P413" s="1">
        <f>SUM(mlb_payrolls[[#This Row],[Active 26-Man]],mlb_payrolls[[#This Row],[Injured]],mlb_payrolls[[#This Row],[Retained]],mlb_payrolls[[#This Row],[Buried]])</f>
        <v>255692506</v>
      </c>
      <c r="Q413" s="1">
        <f>mlb_payrolls[[#This Row],[Total Payroll Allocations]]-mlb_payrolls[[#This Row],[Payroll Parts Sum]]</f>
        <v>8650000</v>
      </c>
      <c r="R413" s="2">
        <f>IF(mlb_payrolls[[#This Row],[Total Payroll Allocations]]&gt;0, mlb_payrolls[[#This Row],[Active 26-Man]]/mlb_payrolls[[#This Row],[Total Payroll Allocations]],"")</f>
        <v>0.8413814802830083</v>
      </c>
      <c r="S413" s="2">
        <f>IF(mlb_payrolls[[#This Row],[Total Payroll Allocations]]&gt;0,mlb_payrolls[[#This Row],[Injured]]/mlb_payrolls[[#This Row],[Total Payroll Allocations]])</f>
        <v>1.5721852920619585E-2</v>
      </c>
      <c r="T413" s="3">
        <f>IF(mlb_payrolls[[#This Row],[Total Payroll Allocations]]&gt;0,mlb_payrolls[[#This Row],[Retained]]/mlb_payrolls[[#This Row],[Total Payroll Allocations]])</f>
        <v>0.10641874977155584</v>
      </c>
      <c r="U413" s="3">
        <f>IF(mlb_payrolls[[#This Row],[Total Payroll Allocations]]&gt;0,mlb_payrolls[[#This Row],[Buried]]/mlb_payrolls[[#This Row],[Total Payroll Allocations]])</f>
        <v>3.7552189960701971E-3</v>
      </c>
      <c r="V413">
        <f>IF(mlb_payrolls[[#This Row],[Postseason]]="No Playoffs",0,1)</f>
        <v>1</v>
      </c>
    </row>
    <row r="414" spans="1:22" x14ac:dyDescent="0.3">
      <c r="A414" t="s">
        <v>51</v>
      </c>
      <c r="B414" t="s">
        <v>52</v>
      </c>
      <c r="C414">
        <v>2016</v>
      </c>
      <c r="D414">
        <v>28.5</v>
      </c>
      <c r="E414" s="1">
        <v>264470494</v>
      </c>
      <c r="F414" s="1">
        <v>193881011</v>
      </c>
      <c r="G414" s="1">
        <v>13288890</v>
      </c>
      <c r="H414" s="1">
        <v>52652847</v>
      </c>
      <c r="I414" s="1">
        <v>4647746</v>
      </c>
      <c r="J414">
        <v>91</v>
      </c>
      <c r="K414">
        <v>71</v>
      </c>
      <c r="L414" t="s">
        <v>24</v>
      </c>
      <c r="M414">
        <f>mlb_payrolls[[#This Row],[Wins]] + mlb_payrolls[[#This Row],[Losses]]</f>
        <v>162</v>
      </c>
      <c r="N414" s="2">
        <f>IF(mlb_payrolls[[#This Row],[Games]] &gt;0, mlb_payrolls[[#This Row],[Wins]]/mlb_payrolls[[#This Row],[Games]], "")</f>
        <v>0.56172839506172845</v>
      </c>
      <c r="O414" s="1">
        <f>IFERROR(VALUE(mlb_payrolls[[#This Row],[Total Payroll Allocations]])/VALUE(mlb_payrolls[[#This Row],[Wins]]),"")</f>
        <v>2906269.1648351648</v>
      </c>
      <c r="P414" s="1">
        <f>SUM(mlb_payrolls[[#This Row],[Active 26-Man]],mlb_payrolls[[#This Row],[Injured]],mlb_payrolls[[#This Row],[Retained]],mlb_payrolls[[#This Row],[Buried]])</f>
        <v>264470494</v>
      </c>
      <c r="Q414" s="1">
        <f>mlb_payrolls[[#This Row],[Total Payroll Allocations]]-mlb_payrolls[[#This Row],[Payroll Parts Sum]]</f>
        <v>0</v>
      </c>
      <c r="R414" s="2">
        <f>IF(mlb_payrolls[[#This Row],[Total Payroll Allocations]]&gt;0, mlb_payrolls[[#This Row],[Active 26-Man]]/mlb_payrolls[[#This Row],[Total Payroll Allocations]],"")</f>
        <v>0.73309127255609841</v>
      </c>
      <c r="S414" s="2">
        <f>IF(mlb_payrolls[[#This Row],[Total Payroll Allocations]]&gt;0,mlb_payrolls[[#This Row],[Injured]]/mlb_payrolls[[#This Row],[Total Payroll Allocations]])</f>
        <v>5.02471553594179E-2</v>
      </c>
      <c r="T414" s="3">
        <f>IF(mlb_payrolls[[#This Row],[Total Payroll Allocations]]&gt;0,mlb_payrolls[[#This Row],[Retained]]/mlb_payrolls[[#This Row],[Total Payroll Allocations]])</f>
        <v>0.19908779313581954</v>
      </c>
      <c r="U414" s="3">
        <f>IF(mlb_payrolls[[#This Row],[Total Payroll Allocations]]&gt;0,mlb_payrolls[[#This Row],[Buried]]/mlb_payrolls[[#This Row],[Total Payroll Allocations]])</f>
        <v>1.7573778948664118E-2</v>
      </c>
      <c r="V414">
        <f>IF(mlb_payrolls[[#This Row],[Postseason]]="No Playoffs",0,1)</f>
        <v>1</v>
      </c>
    </row>
    <row r="415" spans="1:22" x14ac:dyDescent="0.3">
      <c r="A415" t="s">
        <v>51</v>
      </c>
      <c r="B415" t="s">
        <v>52</v>
      </c>
      <c r="C415">
        <v>2021</v>
      </c>
      <c r="D415">
        <v>28.9</v>
      </c>
      <c r="E415" s="1">
        <v>265343390</v>
      </c>
      <c r="F415" s="1">
        <v>174661542</v>
      </c>
      <c r="G415" s="1">
        <v>37823684</v>
      </c>
      <c r="H415" s="1">
        <v>6150521</v>
      </c>
      <c r="I415" s="1">
        <v>15374310</v>
      </c>
      <c r="J415">
        <v>106</v>
      </c>
      <c r="K415">
        <v>56</v>
      </c>
      <c r="L415" t="s">
        <v>21</v>
      </c>
      <c r="M415">
        <f>mlb_payrolls[[#This Row],[Wins]] + mlb_payrolls[[#This Row],[Losses]]</f>
        <v>162</v>
      </c>
      <c r="N415" s="2">
        <f>IF(mlb_payrolls[[#This Row],[Games]] &gt;0, mlb_payrolls[[#This Row],[Wins]]/mlb_payrolls[[#This Row],[Games]], "")</f>
        <v>0.65432098765432101</v>
      </c>
      <c r="O415" s="1">
        <f>IFERROR(VALUE(mlb_payrolls[[#This Row],[Total Payroll Allocations]])/VALUE(mlb_payrolls[[#This Row],[Wins]]),"")</f>
        <v>2503239.5283018867</v>
      </c>
      <c r="P415" s="1">
        <f>SUM(mlb_payrolls[[#This Row],[Active 26-Man]],mlb_payrolls[[#This Row],[Injured]],mlb_payrolls[[#This Row],[Retained]],mlb_payrolls[[#This Row],[Buried]])</f>
        <v>234010057</v>
      </c>
      <c r="Q415" s="1">
        <f>mlb_payrolls[[#This Row],[Total Payroll Allocations]]-mlb_payrolls[[#This Row],[Payroll Parts Sum]]</f>
        <v>31333333</v>
      </c>
      <c r="R415" s="2">
        <f>IF(mlb_payrolls[[#This Row],[Total Payroll Allocations]]&gt;0, mlb_payrolls[[#This Row],[Active 26-Man]]/mlb_payrolls[[#This Row],[Total Payroll Allocations]],"")</f>
        <v>0.65824719432430556</v>
      </c>
      <c r="S415" s="2">
        <f>IF(mlb_payrolls[[#This Row],[Total Payroll Allocations]]&gt;0,mlb_payrolls[[#This Row],[Injured]]/mlb_payrolls[[#This Row],[Total Payroll Allocations]])</f>
        <v>0.1425461700779507</v>
      </c>
      <c r="T415" s="3">
        <f>IF(mlb_payrolls[[#This Row],[Total Payroll Allocations]]&gt;0,mlb_payrolls[[#This Row],[Retained]]/mlb_payrolls[[#This Row],[Total Payroll Allocations]])</f>
        <v>2.3179476978868779E-2</v>
      </c>
      <c r="U415" s="3">
        <f>IF(mlb_payrolls[[#This Row],[Total Payroll Allocations]]&gt;0,mlb_payrolls[[#This Row],[Buried]]/mlb_payrolls[[#This Row],[Total Payroll Allocations]])</f>
        <v>5.7941183309672795E-2</v>
      </c>
      <c r="V415">
        <f>IF(mlb_payrolls[[#This Row],[Postseason]]="No Playoffs",0,1)</f>
        <v>1</v>
      </c>
    </row>
    <row r="416" spans="1:22" x14ac:dyDescent="0.3">
      <c r="A416" t="s">
        <v>51</v>
      </c>
      <c r="B416" t="s">
        <v>52</v>
      </c>
      <c r="C416">
        <v>2022</v>
      </c>
      <c r="D416">
        <v>29.5</v>
      </c>
      <c r="E416" s="1">
        <v>270381426</v>
      </c>
      <c r="F416" s="1">
        <v>231003922</v>
      </c>
      <c r="G416" s="1">
        <v>28920266</v>
      </c>
      <c r="H416" s="1">
        <v>5332866</v>
      </c>
      <c r="I416" s="1">
        <v>1256241</v>
      </c>
      <c r="J416">
        <v>111</v>
      </c>
      <c r="K416">
        <v>51</v>
      </c>
      <c r="L416" t="s">
        <v>24</v>
      </c>
      <c r="M416">
        <f>mlb_payrolls[[#This Row],[Wins]] + mlb_payrolls[[#This Row],[Losses]]</f>
        <v>162</v>
      </c>
      <c r="N416" s="2">
        <f>IF(mlb_payrolls[[#This Row],[Games]] &gt;0, mlb_payrolls[[#This Row],[Wins]]/mlb_payrolls[[#This Row],[Games]], "")</f>
        <v>0.68518518518518523</v>
      </c>
      <c r="O416" s="1">
        <f>IFERROR(VALUE(mlb_payrolls[[#This Row],[Total Payroll Allocations]])/VALUE(mlb_payrolls[[#This Row],[Wins]]),"")</f>
        <v>2435868.7027027025</v>
      </c>
      <c r="P416" s="1">
        <f>SUM(mlb_payrolls[[#This Row],[Active 26-Man]],mlb_payrolls[[#This Row],[Injured]],mlb_payrolls[[#This Row],[Retained]],mlb_payrolls[[#This Row],[Buried]])</f>
        <v>266513295</v>
      </c>
      <c r="Q416" s="1">
        <f>mlb_payrolls[[#This Row],[Total Payroll Allocations]]-mlb_payrolls[[#This Row],[Payroll Parts Sum]]</f>
        <v>3868131</v>
      </c>
      <c r="R416" s="2">
        <f>IF(mlb_payrolls[[#This Row],[Total Payroll Allocations]]&gt;0, mlb_payrolls[[#This Row],[Active 26-Man]]/mlb_payrolls[[#This Row],[Total Payroll Allocations]],"")</f>
        <v>0.85436313217757787</v>
      </c>
      <c r="S416" s="2">
        <f>IF(mlb_payrolls[[#This Row],[Total Payroll Allocations]]&gt;0,mlb_payrolls[[#This Row],[Injured]]/mlb_payrolls[[#This Row],[Total Payroll Allocations]])</f>
        <v>0.10696099368896737</v>
      </c>
      <c r="T416" s="3">
        <f>IF(mlb_payrolls[[#This Row],[Total Payroll Allocations]]&gt;0,mlb_payrolls[[#This Row],[Retained]]/mlb_payrolls[[#This Row],[Total Payroll Allocations]])</f>
        <v>1.9723492396996233E-2</v>
      </c>
      <c r="U416" s="3">
        <f>IF(mlb_payrolls[[#This Row],[Total Payroll Allocations]]&gt;0,mlb_payrolls[[#This Row],[Buried]]/mlb_payrolls[[#This Row],[Total Payroll Allocations]])</f>
        <v>4.6461808364010922E-3</v>
      </c>
      <c r="V416">
        <f>IF(mlb_payrolls[[#This Row],[Postseason]]="No Playoffs",0,1)</f>
        <v>1</v>
      </c>
    </row>
    <row r="417" spans="1:22" x14ac:dyDescent="0.3">
      <c r="A417" t="s">
        <v>71</v>
      </c>
      <c r="B417" t="s">
        <v>72</v>
      </c>
      <c r="C417">
        <v>2023</v>
      </c>
      <c r="D417">
        <v>28.5</v>
      </c>
      <c r="E417" s="1">
        <v>278651150</v>
      </c>
      <c r="F417" s="1">
        <v>187316625</v>
      </c>
      <c r="G417" s="1">
        <v>50681231</v>
      </c>
      <c r="H417" s="1">
        <v>35880817</v>
      </c>
      <c r="I417" s="1">
        <v>1452477</v>
      </c>
      <c r="J417">
        <v>82</v>
      </c>
      <c r="K417">
        <v>80</v>
      </c>
      <c r="L417" t="s">
        <v>14</v>
      </c>
      <c r="M417">
        <f>mlb_payrolls[[#This Row],[Wins]] + mlb_payrolls[[#This Row],[Losses]]</f>
        <v>162</v>
      </c>
      <c r="N417" s="2">
        <f>IF(mlb_payrolls[[#This Row],[Games]] &gt;0, mlb_payrolls[[#This Row],[Wins]]/mlb_payrolls[[#This Row],[Games]], "")</f>
        <v>0.50617283950617287</v>
      </c>
      <c r="O417" s="1">
        <f>IFERROR(VALUE(mlb_payrolls[[#This Row],[Total Payroll Allocations]])/VALUE(mlb_payrolls[[#This Row],[Wins]]),"")</f>
        <v>3398184.7560975607</v>
      </c>
      <c r="P417" s="1">
        <f>SUM(mlb_payrolls[[#This Row],[Active 26-Man]],mlb_payrolls[[#This Row],[Injured]],mlb_payrolls[[#This Row],[Retained]],mlb_payrolls[[#This Row],[Buried]])</f>
        <v>275331150</v>
      </c>
      <c r="Q417" s="1">
        <f>mlb_payrolls[[#This Row],[Total Payroll Allocations]]-mlb_payrolls[[#This Row],[Payroll Parts Sum]]</f>
        <v>3320000</v>
      </c>
      <c r="R417" s="2">
        <f>IF(mlb_payrolls[[#This Row],[Total Payroll Allocations]]&gt;0, mlb_payrolls[[#This Row],[Active 26-Man]]/mlb_payrolls[[#This Row],[Total Payroll Allocations]],"")</f>
        <v>0.6722262764750836</v>
      </c>
      <c r="S417" s="2">
        <f>IF(mlb_payrolls[[#This Row],[Total Payroll Allocations]]&gt;0,mlb_payrolls[[#This Row],[Injured]]/mlb_payrolls[[#This Row],[Total Payroll Allocations]])</f>
        <v>0.18188057361327956</v>
      </c>
      <c r="T417" s="3">
        <f>IF(mlb_payrolls[[#This Row],[Total Payroll Allocations]]&gt;0,mlb_payrolls[[#This Row],[Retained]]/mlb_payrolls[[#This Row],[Total Payroll Allocations]])</f>
        <v>0.12876608260902567</v>
      </c>
      <c r="U417" s="3">
        <f>IF(mlb_payrolls[[#This Row],[Total Payroll Allocations]]&gt;0,mlb_payrolls[[#This Row],[Buried]]/mlb_payrolls[[#This Row],[Total Payroll Allocations]])</f>
        <v>5.2125282813295405E-3</v>
      </c>
      <c r="V417">
        <f>IF(mlb_payrolls[[#This Row],[Postseason]]="No Playoffs",0,1)</f>
        <v>0</v>
      </c>
    </row>
    <row r="418" spans="1:22" x14ac:dyDescent="0.3">
      <c r="A418" t="s">
        <v>51</v>
      </c>
      <c r="B418" t="s">
        <v>52</v>
      </c>
      <c r="C418">
        <v>2015</v>
      </c>
      <c r="D418">
        <v>28.4</v>
      </c>
      <c r="E418" s="1">
        <v>301735080</v>
      </c>
      <c r="F418" s="1">
        <v>202137688</v>
      </c>
      <c r="G418" s="1">
        <v>20914084</v>
      </c>
      <c r="H418" s="1">
        <v>68164195</v>
      </c>
      <c r="I418" s="1">
        <v>10519113</v>
      </c>
      <c r="J418">
        <v>92</v>
      </c>
      <c r="K418">
        <v>70</v>
      </c>
      <c r="L418" t="s">
        <v>24</v>
      </c>
      <c r="M418">
        <f>mlb_payrolls[[#This Row],[Wins]] + mlb_payrolls[[#This Row],[Losses]]</f>
        <v>162</v>
      </c>
      <c r="N418" s="2">
        <f>IF(mlb_payrolls[[#This Row],[Games]] &gt;0, mlb_payrolls[[#This Row],[Wins]]/mlb_payrolls[[#This Row],[Games]], "")</f>
        <v>0.5679012345679012</v>
      </c>
      <c r="O418" s="1">
        <f>IFERROR(VALUE(mlb_payrolls[[#This Row],[Total Payroll Allocations]])/VALUE(mlb_payrolls[[#This Row],[Wins]]),"")</f>
        <v>3279729.1304347827</v>
      </c>
      <c r="P418" s="1">
        <f>SUM(mlb_payrolls[[#This Row],[Active 26-Man]],mlb_payrolls[[#This Row],[Injured]],mlb_payrolls[[#This Row],[Retained]],mlb_payrolls[[#This Row],[Buried]])</f>
        <v>301735080</v>
      </c>
      <c r="Q418" s="1">
        <f>mlb_payrolls[[#This Row],[Total Payroll Allocations]]-mlb_payrolls[[#This Row],[Payroll Parts Sum]]</f>
        <v>0</v>
      </c>
      <c r="R418" s="2">
        <f>IF(mlb_payrolls[[#This Row],[Total Payroll Allocations]]&gt;0, mlb_payrolls[[#This Row],[Active 26-Man]]/mlb_payrolls[[#This Row],[Total Payroll Allocations]],"")</f>
        <v>0.66991775699398293</v>
      </c>
      <c r="S418" s="2">
        <f>IF(mlb_payrolls[[#This Row],[Total Payroll Allocations]]&gt;0,mlb_payrolls[[#This Row],[Injured]]/mlb_payrolls[[#This Row],[Total Payroll Allocations]])</f>
        <v>6.9312736192291599E-2</v>
      </c>
      <c r="T418" s="3">
        <f>IF(mlb_payrolls[[#This Row],[Total Payroll Allocations]]&gt;0,mlb_payrolls[[#This Row],[Retained]]/mlb_payrolls[[#This Row],[Total Payroll Allocations]])</f>
        <v>0.2259074251492402</v>
      </c>
      <c r="U418" s="3">
        <f>IF(mlb_payrolls[[#This Row],[Total Payroll Allocations]]&gt;0,mlb_payrolls[[#This Row],[Buried]]/mlb_payrolls[[#This Row],[Total Payroll Allocations]])</f>
        <v>3.4862081664485282E-2</v>
      </c>
      <c r="V418">
        <f>IF(mlb_payrolls[[#This Row],[Postseason]]="No Playoffs",0,1)</f>
        <v>1</v>
      </c>
    </row>
    <row r="419" spans="1:22" x14ac:dyDescent="0.3">
      <c r="A419" t="s">
        <v>71</v>
      </c>
      <c r="B419" t="s">
        <v>72</v>
      </c>
      <c r="C419">
        <v>2024</v>
      </c>
      <c r="D419">
        <v>29.1</v>
      </c>
      <c r="E419" s="1">
        <v>308574607</v>
      </c>
      <c r="F419" s="1">
        <v>260231924</v>
      </c>
      <c r="G419" s="1">
        <v>25630756</v>
      </c>
      <c r="H419" s="1">
        <v>19146394</v>
      </c>
      <c r="I419" s="1">
        <v>3565533</v>
      </c>
      <c r="J419">
        <v>94</v>
      </c>
      <c r="K419">
        <v>68</v>
      </c>
      <c r="L419" t="s">
        <v>24</v>
      </c>
      <c r="M419">
        <f>mlb_payrolls[[#This Row],[Wins]] + mlb_payrolls[[#This Row],[Losses]]</f>
        <v>162</v>
      </c>
      <c r="N419" s="2">
        <f>IF(mlb_payrolls[[#This Row],[Games]] &gt;0, mlb_payrolls[[#This Row],[Wins]]/mlb_payrolls[[#This Row],[Games]], "")</f>
        <v>0.58024691358024694</v>
      </c>
      <c r="O419" s="1">
        <f>IFERROR(VALUE(mlb_payrolls[[#This Row],[Total Payroll Allocations]])/VALUE(mlb_payrolls[[#This Row],[Wins]]),"")</f>
        <v>3282708.5851063831</v>
      </c>
      <c r="P419" s="1">
        <f>SUM(mlb_payrolls[[#This Row],[Active 26-Man]],mlb_payrolls[[#This Row],[Injured]],mlb_payrolls[[#This Row],[Retained]],mlb_payrolls[[#This Row],[Buried]])</f>
        <v>308574607</v>
      </c>
      <c r="Q419" s="1">
        <f>mlb_payrolls[[#This Row],[Total Payroll Allocations]]-mlb_payrolls[[#This Row],[Payroll Parts Sum]]</f>
        <v>0</v>
      </c>
      <c r="R419" s="2">
        <f>IF(mlb_payrolls[[#This Row],[Total Payroll Allocations]]&gt;0, mlb_payrolls[[#This Row],[Active 26-Man]]/mlb_payrolls[[#This Row],[Total Payroll Allocations]],"")</f>
        <v>0.84333551140194762</v>
      </c>
      <c r="S419" s="2">
        <f>IF(mlb_payrolls[[#This Row],[Total Payroll Allocations]]&gt;0,mlb_payrolls[[#This Row],[Injured]]/mlb_payrolls[[#This Row],[Total Payroll Allocations]])</f>
        <v>8.3061779610400677E-2</v>
      </c>
      <c r="T419" s="3">
        <f>IF(mlb_payrolls[[#This Row],[Total Payroll Allocations]]&gt;0,mlb_payrolls[[#This Row],[Retained]]/mlb_payrolls[[#This Row],[Total Payroll Allocations]])</f>
        <v>6.2047859952390705E-2</v>
      </c>
      <c r="U419" s="3">
        <f>IF(mlb_payrolls[[#This Row],[Total Payroll Allocations]]&gt;0,mlb_payrolls[[#This Row],[Buried]]/mlb_payrolls[[#This Row],[Total Payroll Allocations]])</f>
        <v>1.1554849035261026E-2</v>
      </c>
      <c r="V419">
        <f>IF(mlb_payrolls[[#This Row],[Postseason]]="No Playoffs",0,1)</f>
        <v>1</v>
      </c>
    </row>
    <row r="420" spans="1:22" x14ac:dyDescent="0.3">
      <c r="A420" t="s">
        <v>73</v>
      </c>
      <c r="B420" t="s">
        <v>74</v>
      </c>
      <c r="C420">
        <v>2024</v>
      </c>
      <c r="D420">
        <v>30.4</v>
      </c>
      <c r="E420" s="1">
        <v>314748899</v>
      </c>
      <c r="F420" s="1">
        <v>186528021</v>
      </c>
      <c r="G420" s="1">
        <v>37578740</v>
      </c>
      <c r="H420" s="1">
        <v>87720420</v>
      </c>
      <c r="I420" s="1">
        <v>3931503</v>
      </c>
      <c r="J420">
        <v>89</v>
      </c>
      <c r="K420">
        <v>73</v>
      </c>
      <c r="L420" t="s">
        <v>21</v>
      </c>
      <c r="M420">
        <f>mlb_payrolls[[#This Row],[Wins]] + mlb_payrolls[[#This Row],[Losses]]</f>
        <v>162</v>
      </c>
      <c r="N420" s="2">
        <f>IF(mlb_payrolls[[#This Row],[Games]] &gt;0, mlb_payrolls[[#This Row],[Wins]]/mlb_payrolls[[#This Row],[Games]], "")</f>
        <v>0.54938271604938271</v>
      </c>
      <c r="O420" s="1">
        <f>IFERROR(VALUE(mlb_payrolls[[#This Row],[Total Payroll Allocations]])/VALUE(mlb_payrolls[[#This Row],[Wins]]),"")</f>
        <v>3536504.4831460672</v>
      </c>
      <c r="P420" s="1">
        <f>SUM(mlb_payrolls[[#This Row],[Active 26-Man]],mlb_payrolls[[#This Row],[Injured]],mlb_payrolls[[#This Row],[Retained]],mlb_payrolls[[#This Row],[Buried]])</f>
        <v>315758684</v>
      </c>
      <c r="Q420" s="1">
        <f>mlb_payrolls[[#This Row],[Total Payroll Allocations]]-mlb_payrolls[[#This Row],[Payroll Parts Sum]]</f>
        <v>-1009785</v>
      </c>
      <c r="R420" s="2">
        <f>IF(mlb_payrolls[[#This Row],[Total Payroll Allocations]]&gt;0, mlb_payrolls[[#This Row],[Active 26-Man]]/mlb_payrolls[[#This Row],[Total Payroll Allocations]],"")</f>
        <v>0.59262485617145877</v>
      </c>
      <c r="S420" s="2">
        <f>IF(mlb_payrolls[[#This Row],[Total Payroll Allocations]]&gt;0,mlb_payrolls[[#This Row],[Injured]]/mlb_payrolls[[#This Row],[Total Payroll Allocations]])</f>
        <v>0.11939276076705196</v>
      </c>
      <c r="T420" s="3">
        <f>IF(mlb_payrolls[[#This Row],[Total Payroll Allocations]]&gt;0,mlb_payrolls[[#This Row],[Retained]]/mlb_payrolls[[#This Row],[Total Payroll Allocations]])</f>
        <v>0.27869968815998941</v>
      </c>
      <c r="U420" s="3">
        <f>IF(mlb_payrolls[[#This Row],[Total Payroll Allocations]]&gt;0,mlb_payrolls[[#This Row],[Buried]]/mlb_payrolls[[#This Row],[Total Payroll Allocations]])</f>
        <v>1.2490918991268656E-2</v>
      </c>
      <c r="V420">
        <f>IF(mlb_payrolls[[#This Row],[Postseason]]="No Playoffs",0,1)</f>
        <v>1</v>
      </c>
    </row>
    <row r="421" spans="1:22" x14ac:dyDescent="0.3">
      <c r="A421" t="s">
        <v>73</v>
      </c>
      <c r="B421" t="s">
        <v>74</v>
      </c>
      <c r="C421">
        <v>2023</v>
      </c>
      <c r="D421">
        <v>28.4</v>
      </c>
      <c r="E421" s="1">
        <v>341673777</v>
      </c>
      <c r="F421" s="1">
        <v>104157606</v>
      </c>
      <c r="G421" s="1">
        <v>76849257</v>
      </c>
      <c r="H421" s="1">
        <v>158207683</v>
      </c>
      <c r="I421" s="1">
        <v>2459231</v>
      </c>
      <c r="J421">
        <v>75</v>
      </c>
      <c r="K421">
        <v>87</v>
      </c>
      <c r="L421" t="s">
        <v>14</v>
      </c>
      <c r="M421">
        <f>mlb_payrolls[[#This Row],[Wins]] + mlb_payrolls[[#This Row],[Losses]]</f>
        <v>162</v>
      </c>
      <c r="N421" s="2">
        <f>IF(mlb_payrolls[[#This Row],[Games]] &gt;0, mlb_payrolls[[#This Row],[Wins]]/mlb_payrolls[[#This Row],[Games]], "")</f>
        <v>0.46296296296296297</v>
      </c>
      <c r="O421" s="1">
        <f>IFERROR(VALUE(mlb_payrolls[[#This Row],[Total Payroll Allocations]])/VALUE(mlb_payrolls[[#This Row],[Wins]]),"")</f>
        <v>4555650.3600000003</v>
      </c>
      <c r="P421" s="1">
        <f>SUM(mlb_payrolls[[#This Row],[Active 26-Man]],mlb_payrolls[[#This Row],[Injured]],mlb_payrolls[[#This Row],[Retained]],mlb_payrolls[[#This Row],[Buried]])</f>
        <v>341673777</v>
      </c>
      <c r="Q421" s="1">
        <f>mlb_payrolls[[#This Row],[Total Payroll Allocations]]-mlb_payrolls[[#This Row],[Payroll Parts Sum]]</f>
        <v>0</v>
      </c>
      <c r="R421" s="2">
        <f>IF(mlb_payrolls[[#This Row],[Total Payroll Allocations]]&gt;0, mlb_payrolls[[#This Row],[Active 26-Man]]/mlb_payrolls[[#This Row],[Total Payroll Allocations]],"")</f>
        <v>0.30484518570472557</v>
      </c>
      <c r="S421" s="2">
        <f>IF(mlb_payrolls[[#This Row],[Total Payroll Allocations]]&gt;0,mlb_payrolls[[#This Row],[Injured]]/mlb_payrolls[[#This Row],[Total Payroll Allocations]])</f>
        <v>0.22491997388491419</v>
      </c>
      <c r="T421" s="3">
        <f>IF(mlb_payrolls[[#This Row],[Total Payroll Allocations]]&gt;0,mlb_payrolls[[#This Row],[Retained]]/mlb_payrolls[[#This Row],[Total Payroll Allocations]])</f>
        <v>0.46303724092937926</v>
      </c>
      <c r="U421" s="3">
        <f>IF(mlb_payrolls[[#This Row],[Total Payroll Allocations]]&gt;0,mlb_payrolls[[#This Row],[Buried]]/mlb_payrolls[[#This Row],[Total Payroll Allocations]])</f>
        <v>7.1975994809809476E-3</v>
      </c>
      <c r="V421">
        <f>IF(mlb_payrolls[[#This Row],[Postseason]]="No Playoffs",0,1)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A46A-19AD-4A72-B731-0EDD47360162}">
  <dimension ref="A3:E60"/>
  <sheetViews>
    <sheetView workbookViewId="0">
      <selection activeCell="F65" sqref="F65"/>
    </sheetView>
  </sheetViews>
  <sheetFormatPr defaultRowHeight="14.4" x14ac:dyDescent="0.3"/>
  <cols>
    <col min="1" max="1" width="10.44140625" bestFit="1" customWidth="1"/>
    <col min="2" max="2" width="30" bestFit="1" customWidth="1"/>
    <col min="3" max="3" width="20.109375" bestFit="1" customWidth="1"/>
    <col min="4" max="4" width="12.44140625" bestFit="1" customWidth="1"/>
    <col min="5" max="5" width="16.77734375" bestFit="1" customWidth="1"/>
    <col min="6" max="420" width="18.5546875" bestFit="1" customWidth="1"/>
    <col min="421" max="421" width="11.109375" bestFit="1" customWidth="1"/>
    <col min="422" max="422" width="21.44140625" bestFit="1" customWidth="1"/>
    <col min="423" max="423" width="17.6640625" bestFit="1" customWidth="1"/>
    <col min="424" max="424" width="21.44140625" bestFit="1" customWidth="1"/>
    <col min="425" max="425" width="17.6640625" bestFit="1" customWidth="1"/>
    <col min="426" max="426" width="21.44140625" bestFit="1" customWidth="1"/>
    <col min="427" max="427" width="17.6640625" bestFit="1" customWidth="1"/>
    <col min="428" max="428" width="21.44140625" bestFit="1" customWidth="1"/>
    <col min="429" max="429" width="17.6640625" bestFit="1" customWidth="1"/>
    <col min="430" max="430" width="21.44140625" bestFit="1" customWidth="1"/>
    <col min="431" max="431" width="17.6640625" bestFit="1" customWidth="1"/>
    <col min="432" max="432" width="21.44140625" bestFit="1" customWidth="1"/>
    <col min="433" max="433" width="17.6640625" bestFit="1" customWidth="1"/>
    <col min="434" max="434" width="21.44140625" bestFit="1" customWidth="1"/>
    <col min="435" max="435" width="17.6640625" bestFit="1" customWidth="1"/>
    <col min="436" max="436" width="21.44140625" bestFit="1" customWidth="1"/>
    <col min="437" max="437" width="17.6640625" bestFit="1" customWidth="1"/>
    <col min="438" max="438" width="21.44140625" bestFit="1" customWidth="1"/>
    <col min="439" max="439" width="17.6640625" bestFit="1" customWidth="1"/>
    <col min="440" max="440" width="21.44140625" bestFit="1" customWidth="1"/>
    <col min="441" max="441" width="17.6640625" bestFit="1" customWidth="1"/>
    <col min="442" max="442" width="21.44140625" bestFit="1" customWidth="1"/>
    <col min="443" max="443" width="17.6640625" bestFit="1" customWidth="1"/>
    <col min="444" max="444" width="21.44140625" bestFit="1" customWidth="1"/>
    <col min="445" max="445" width="17.6640625" bestFit="1" customWidth="1"/>
    <col min="446" max="446" width="21.44140625" bestFit="1" customWidth="1"/>
    <col min="447" max="447" width="17.6640625" bestFit="1" customWidth="1"/>
    <col min="448" max="448" width="21.44140625" bestFit="1" customWidth="1"/>
    <col min="449" max="449" width="17.6640625" bestFit="1" customWidth="1"/>
    <col min="450" max="450" width="21.44140625" bestFit="1" customWidth="1"/>
    <col min="451" max="451" width="17.6640625" bestFit="1" customWidth="1"/>
    <col min="452" max="452" width="21.44140625" bestFit="1" customWidth="1"/>
    <col min="453" max="453" width="17.6640625" bestFit="1" customWidth="1"/>
    <col min="454" max="454" width="21.44140625" bestFit="1" customWidth="1"/>
    <col min="455" max="455" width="17.6640625" bestFit="1" customWidth="1"/>
    <col min="456" max="456" width="21.44140625" bestFit="1" customWidth="1"/>
    <col min="457" max="457" width="17.6640625" bestFit="1" customWidth="1"/>
    <col min="458" max="458" width="21.44140625" bestFit="1" customWidth="1"/>
    <col min="459" max="459" width="17.6640625" bestFit="1" customWidth="1"/>
    <col min="460" max="460" width="21.44140625" bestFit="1" customWidth="1"/>
    <col min="461" max="461" width="17.6640625" bestFit="1" customWidth="1"/>
    <col min="462" max="462" width="21.44140625" bestFit="1" customWidth="1"/>
    <col min="463" max="463" width="17.6640625" bestFit="1" customWidth="1"/>
    <col min="464" max="464" width="21.44140625" bestFit="1" customWidth="1"/>
    <col min="465" max="465" width="17.6640625" bestFit="1" customWidth="1"/>
    <col min="466" max="466" width="21.44140625" bestFit="1" customWidth="1"/>
    <col min="467" max="467" width="17.6640625" bestFit="1" customWidth="1"/>
    <col min="468" max="468" width="21.44140625" bestFit="1" customWidth="1"/>
    <col min="469" max="469" width="17.6640625" bestFit="1" customWidth="1"/>
    <col min="470" max="470" width="21.44140625" bestFit="1" customWidth="1"/>
    <col min="471" max="471" width="17.6640625" bestFit="1" customWidth="1"/>
    <col min="472" max="472" width="21.44140625" bestFit="1" customWidth="1"/>
    <col min="473" max="473" width="17.6640625" bestFit="1" customWidth="1"/>
    <col min="474" max="474" width="21.44140625" bestFit="1" customWidth="1"/>
    <col min="475" max="475" width="17.6640625" bestFit="1" customWidth="1"/>
    <col min="476" max="476" width="21.44140625" bestFit="1" customWidth="1"/>
    <col min="477" max="477" width="17.6640625" bestFit="1" customWidth="1"/>
    <col min="478" max="478" width="21.44140625" bestFit="1" customWidth="1"/>
    <col min="479" max="479" width="17.6640625" bestFit="1" customWidth="1"/>
    <col min="480" max="480" width="21.44140625" bestFit="1" customWidth="1"/>
    <col min="481" max="481" width="17.6640625" bestFit="1" customWidth="1"/>
    <col min="482" max="482" width="21.44140625" bestFit="1" customWidth="1"/>
    <col min="483" max="483" width="17.6640625" bestFit="1" customWidth="1"/>
    <col min="484" max="484" width="21.44140625" bestFit="1" customWidth="1"/>
    <col min="485" max="485" width="17.6640625" bestFit="1" customWidth="1"/>
    <col min="486" max="486" width="21.44140625" bestFit="1" customWidth="1"/>
    <col min="487" max="487" width="17.6640625" bestFit="1" customWidth="1"/>
    <col min="488" max="488" width="21.44140625" bestFit="1" customWidth="1"/>
    <col min="489" max="489" width="17.6640625" bestFit="1" customWidth="1"/>
    <col min="490" max="490" width="21.44140625" bestFit="1" customWidth="1"/>
    <col min="491" max="491" width="17.6640625" bestFit="1" customWidth="1"/>
    <col min="492" max="492" width="21.44140625" bestFit="1" customWidth="1"/>
    <col min="493" max="493" width="17.6640625" bestFit="1" customWidth="1"/>
    <col min="494" max="494" width="21.44140625" bestFit="1" customWidth="1"/>
    <col min="495" max="495" width="17.6640625" bestFit="1" customWidth="1"/>
    <col min="496" max="496" width="21.44140625" bestFit="1" customWidth="1"/>
    <col min="497" max="497" width="17.6640625" bestFit="1" customWidth="1"/>
    <col min="498" max="498" width="21.44140625" bestFit="1" customWidth="1"/>
    <col min="499" max="499" width="17.6640625" bestFit="1" customWidth="1"/>
    <col min="500" max="500" width="21.44140625" bestFit="1" customWidth="1"/>
    <col min="501" max="501" width="17.6640625" bestFit="1" customWidth="1"/>
    <col min="502" max="502" width="21.44140625" bestFit="1" customWidth="1"/>
    <col min="503" max="503" width="17.6640625" bestFit="1" customWidth="1"/>
    <col min="504" max="504" width="21.44140625" bestFit="1" customWidth="1"/>
    <col min="505" max="505" width="17.6640625" bestFit="1" customWidth="1"/>
    <col min="506" max="506" width="21.44140625" bestFit="1" customWidth="1"/>
    <col min="507" max="507" width="17.6640625" bestFit="1" customWidth="1"/>
    <col min="508" max="508" width="21.44140625" bestFit="1" customWidth="1"/>
    <col min="509" max="509" width="17.6640625" bestFit="1" customWidth="1"/>
    <col min="510" max="510" width="21.44140625" bestFit="1" customWidth="1"/>
    <col min="511" max="511" width="17.6640625" bestFit="1" customWidth="1"/>
    <col min="512" max="512" width="21.44140625" bestFit="1" customWidth="1"/>
    <col min="513" max="513" width="17.6640625" bestFit="1" customWidth="1"/>
    <col min="514" max="514" width="21.44140625" bestFit="1" customWidth="1"/>
    <col min="515" max="515" width="17.6640625" bestFit="1" customWidth="1"/>
    <col min="516" max="516" width="21.44140625" bestFit="1" customWidth="1"/>
    <col min="517" max="517" width="17.6640625" bestFit="1" customWidth="1"/>
    <col min="518" max="518" width="21.44140625" bestFit="1" customWidth="1"/>
    <col min="519" max="519" width="17.6640625" bestFit="1" customWidth="1"/>
    <col min="520" max="520" width="21.44140625" bestFit="1" customWidth="1"/>
    <col min="521" max="521" width="17.6640625" bestFit="1" customWidth="1"/>
    <col min="522" max="522" width="21.44140625" bestFit="1" customWidth="1"/>
    <col min="523" max="523" width="17.6640625" bestFit="1" customWidth="1"/>
    <col min="524" max="524" width="21.44140625" bestFit="1" customWidth="1"/>
    <col min="525" max="525" width="17.6640625" bestFit="1" customWidth="1"/>
    <col min="526" max="526" width="21.44140625" bestFit="1" customWidth="1"/>
    <col min="527" max="527" width="17.6640625" bestFit="1" customWidth="1"/>
    <col min="528" max="528" width="21.44140625" bestFit="1" customWidth="1"/>
    <col min="529" max="529" width="17.6640625" bestFit="1" customWidth="1"/>
    <col min="530" max="530" width="21.44140625" bestFit="1" customWidth="1"/>
    <col min="531" max="531" width="17.6640625" bestFit="1" customWidth="1"/>
    <col min="532" max="532" width="21.44140625" bestFit="1" customWidth="1"/>
    <col min="533" max="533" width="17.6640625" bestFit="1" customWidth="1"/>
    <col min="534" max="534" width="21.44140625" bestFit="1" customWidth="1"/>
    <col min="535" max="535" width="17.6640625" bestFit="1" customWidth="1"/>
    <col min="536" max="536" width="21.44140625" bestFit="1" customWidth="1"/>
    <col min="537" max="537" width="17.6640625" bestFit="1" customWidth="1"/>
    <col min="538" max="538" width="21.44140625" bestFit="1" customWidth="1"/>
    <col min="539" max="539" width="17.6640625" bestFit="1" customWidth="1"/>
    <col min="540" max="540" width="21.44140625" bestFit="1" customWidth="1"/>
    <col min="541" max="541" width="17.6640625" bestFit="1" customWidth="1"/>
    <col min="542" max="542" width="21.44140625" bestFit="1" customWidth="1"/>
    <col min="543" max="543" width="17.6640625" bestFit="1" customWidth="1"/>
    <col min="544" max="544" width="21.44140625" bestFit="1" customWidth="1"/>
    <col min="545" max="545" width="17.6640625" bestFit="1" customWidth="1"/>
    <col min="546" max="546" width="21.44140625" bestFit="1" customWidth="1"/>
    <col min="547" max="547" width="17.6640625" bestFit="1" customWidth="1"/>
    <col min="548" max="548" width="21.44140625" bestFit="1" customWidth="1"/>
    <col min="549" max="549" width="17.6640625" bestFit="1" customWidth="1"/>
    <col min="550" max="550" width="21.44140625" bestFit="1" customWidth="1"/>
    <col min="551" max="551" width="17.6640625" bestFit="1" customWidth="1"/>
    <col min="552" max="552" width="21.44140625" bestFit="1" customWidth="1"/>
    <col min="553" max="553" width="17.6640625" bestFit="1" customWidth="1"/>
    <col min="554" max="554" width="21.44140625" bestFit="1" customWidth="1"/>
    <col min="555" max="555" width="17.6640625" bestFit="1" customWidth="1"/>
    <col min="556" max="556" width="21.44140625" bestFit="1" customWidth="1"/>
    <col min="557" max="557" width="17.6640625" bestFit="1" customWidth="1"/>
    <col min="558" max="558" width="21.44140625" bestFit="1" customWidth="1"/>
    <col min="559" max="559" width="17.6640625" bestFit="1" customWidth="1"/>
    <col min="560" max="560" width="21.44140625" bestFit="1" customWidth="1"/>
    <col min="561" max="561" width="17.6640625" bestFit="1" customWidth="1"/>
    <col min="562" max="562" width="21.44140625" bestFit="1" customWidth="1"/>
    <col min="563" max="563" width="17.6640625" bestFit="1" customWidth="1"/>
    <col min="564" max="564" width="21.44140625" bestFit="1" customWidth="1"/>
    <col min="565" max="565" width="17.6640625" bestFit="1" customWidth="1"/>
    <col min="566" max="566" width="21.44140625" bestFit="1" customWidth="1"/>
    <col min="567" max="567" width="17.6640625" bestFit="1" customWidth="1"/>
    <col min="568" max="568" width="21.44140625" bestFit="1" customWidth="1"/>
    <col min="569" max="569" width="17.6640625" bestFit="1" customWidth="1"/>
    <col min="570" max="570" width="21.44140625" bestFit="1" customWidth="1"/>
    <col min="571" max="571" width="17.6640625" bestFit="1" customWidth="1"/>
    <col min="572" max="572" width="21.44140625" bestFit="1" customWidth="1"/>
    <col min="573" max="573" width="17.6640625" bestFit="1" customWidth="1"/>
    <col min="574" max="574" width="21.44140625" bestFit="1" customWidth="1"/>
    <col min="575" max="575" width="17.6640625" bestFit="1" customWidth="1"/>
    <col min="576" max="576" width="21.44140625" bestFit="1" customWidth="1"/>
    <col min="577" max="577" width="17.6640625" bestFit="1" customWidth="1"/>
    <col min="578" max="578" width="21.44140625" bestFit="1" customWidth="1"/>
    <col min="579" max="579" width="17.6640625" bestFit="1" customWidth="1"/>
    <col min="580" max="580" width="21.44140625" bestFit="1" customWidth="1"/>
    <col min="581" max="581" width="17.6640625" bestFit="1" customWidth="1"/>
    <col min="582" max="582" width="21.44140625" bestFit="1" customWidth="1"/>
    <col min="583" max="583" width="17.6640625" bestFit="1" customWidth="1"/>
    <col min="584" max="584" width="21.44140625" bestFit="1" customWidth="1"/>
    <col min="585" max="585" width="17.6640625" bestFit="1" customWidth="1"/>
    <col min="586" max="586" width="21.44140625" bestFit="1" customWidth="1"/>
    <col min="587" max="587" width="17.6640625" bestFit="1" customWidth="1"/>
    <col min="588" max="588" width="21.44140625" bestFit="1" customWidth="1"/>
    <col min="589" max="589" width="17.6640625" bestFit="1" customWidth="1"/>
    <col min="590" max="590" width="21.44140625" bestFit="1" customWidth="1"/>
    <col min="591" max="591" width="17.6640625" bestFit="1" customWidth="1"/>
    <col min="592" max="592" width="21.44140625" bestFit="1" customWidth="1"/>
    <col min="593" max="593" width="17.6640625" bestFit="1" customWidth="1"/>
    <col min="594" max="594" width="21.44140625" bestFit="1" customWidth="1"/>
    <col min="595" max="595" width="17.6640625" bestFit="1" customWidth="1"/>
    <col min="596" max="596" width="21.44140625" bestFit="1" customWidth="1"/>
    <col min="597" max="597" width="17.6640625" bestFit="1" customWidth="1"/>
    <col min="598" max="598" width="21.44140625" bestFit="1" customWidth="1"/>
    <col min="599" max="599" width="17.6640625" bestFit="1" customWidth="1"/>
    <col min="600" max="600" width="21.44140625" bestFit="1" customWidth="1"/>
    <col min="601" max="601" width="17.6640625" bestFit="1" customWidth="1"/>
    <col min="602" max="602" width="21.44140625" bestFit="1" customWidth="1"/>
    <col min="603" max="603" width="17.6640625" bestFit="1" customWidth="1"/>
    <col min="604" max="604" width="21.44140625" bestFit="1" customWidth="1"/>
    <col min="605" max="605" width="17.6640625" bestFit="1" customWidth="1"/>
    <col min="606" max="606" width="21.44140625" bestFit="1" customWidth="1"/>
    <col min="607" max="607" width="17.6640625" bestFit="1" customWidth="1"/>
    <col min="608" max="608" width="21.44140625" bestFit="1" customWidth="1"/>
    <col min="609" max="609" width="17.6640625" bestFit="1" customWidth="1"/>
    <col min="610" max="610" width="21.44140625" bestFit="1" customWidth="1"/>
    <col min="611" max="611" width="17.6640625" bestFit="1" customWidth="1"/>
    <col min="612" max="612" width="21.44140625" bestFit="1" customWidth="1"/>
    <col min="613" max="613" width="17.6640625" bestFit="1" customWidth="1"/>
    <col min="614" max="614" width="21.44140625" bestFit="1" customWidth="1"/>
    <col min="615" max="615" width="17.6640625" bestFit="1" customWidth="1"/>
    <col min="616" max="616" width="21.44140625" bestFit="1" customWidth="1"/>
    <col min="617" max="617" width="17.6640625" bestFit="1" customWidth="1"/>
    <col min="618" max="618" width="21.44140625" bestFit="1" customWidth="1"/>
    <col min="619" max="619" width="17.6640625" bestFit="1" customWidth="1"/>
    <col min="620" max="620" width="21.44140625" bestFit="1" customWidth="1"/>
    <col min="621" max="621" width="17.6640625" bestFit="1" customWidth="1"/>
    <col min="622" max="622" width="21.44140625" bestFit="1" customWidth="1"/>
    <col min="623" max="623" width="17.6640625" bestFit="1" customWidth="1"/>
    <col min="624" max="624" width="21.44140625" bestFit="1" customWidth="1"/>
    <col min="625" max="625" width="17.6640625" bestFit="1" customWidth="1"/>
    <col min="626" max="626" width="21.44140625" bestFit="1" customWidth="1"/>
    <col min="627" max="627" width="17.6640625" bestFit="1" customWidth="1"/>
    <col min="628" max="628" width="21.44140625" bestFit="1" customWidth="1"/>
    <col min="629" max="629" width="17.6640625" bestFit="1" customWidth="1"/>
    <col min="630" max="630" width="21.44140625" bestFit="1" customWidth="1"/>
    <col min="631" max="631" width="17.6640625" bestFit="1" customWidth="1"/>
    <col min="632" max="632" width="21.44140625" bestFit="1" customWidth="1"/>
    <col min="633" max="633" width="17.6640625" bestFit="1" customWidth="1"/>
    <col min="634" max="634" width="21.44140625" bestFit="1" customWidth="1"/>
    <col min="635" max="635" width="17.6640625" bestFit="1" customWidth="1"/>
    <col min="636" max="636" width="21.44140625" bestFit="1" customWidth="1"/>
    <col min="637" max="637" width="17.6640625" bestFit="1" customWidth="1"/>
    <col min="638" max="638" width="21.44140625" bestFit="1" customWidth="1"/>
    <col min="639" max="639" width="17.6640625" bestFit="1" customWidth="1"/>
    <col min="640" max="640" width="21.44140625" bestFit="1" customWidth="1"/>
    <col min="641" max="641" width="17.6640625" bestFit="1" customWidth="1"/>
    <col min="642" max="642" width="21.44140625" bestFit="1" customWidth="1"/>
    <col min="643" max="643" width="17.6640625" bestFit="1" customWidth="1"/>
    <col min="644" max="644" width="21.44140625" bestFit="1" customWidth="1"/>
    <col min="645" max="645" width="17.6640625" bestFit="1" customWidth="1"/>
    <col min="646" max="646" width="21.44140625" bestFit="1" customWidth="1"/>
    <col min="647" max="647" width="17.6640625" bestFit="1" customWidth="1"/>
    <col min="648" max="648" width="21.44140625" bestFit="1" customWidth="1"/>
    <col min="649" max="649" width="17.6640625" bestFit="1" customWidth="1"/>
    <col min="650" max="650" width="21.44140625" bestFit="1" customWidth="1"/>
    <col min="651" max="651" width="17.6640625" bestFit="1" customWidth="1"/>
    <col min="652" max="652" width="21.44140625" bestFit="1" customWidth="1"/>
    <col min="653" max="653" width="17.6640625" bestFit="1" customWidth="1"/>
    <col min="654" max="654" width="21.44140625" bestFit="1" customWidth="1"/>
    <col min="655" max="655" width="17.6640625" bestFit="1" customWidth="1"/>
    <col min="656" max="656" width="21.44140625" bestFit="1" customWidth="1"/>
    <col min="657" max="657" width="17.6640625" bestFit="1" customWidth="1"/>
    <col min="658" max="658" width="21.44140625" bestFit="1" customWidth="1"/>
    <col min="659" max="659" width="17.6640625" bestFit="1" customWidth="1"/>
    <col min="660" max="660" width="21.44140625" bestFit="1" customWidth="1"/>
    <col min="661" max="661" width="17.6640625" bestFit="1" customWidth="1"/>
    <col min="662" max="662" width="21.44140625" bestFit="1" customWidth="1"/>
    <col min="663" max="663" width="17.6640625" bestFit="1" customWidth="1"/>
    <col min="664" max="664" width="21.44140625" bestFit="1" customWidth="1"/>
    <col min="665" max="665" width="17.6640625" bestFit="1" customWidth="1"/>
    <col min="666" max="666" width="21.44140625" bestFit="1" customWidth="1"/>
    <col min="667" max="667" width="17.6640625" bestFit="1" customWidth="1"/>
    <col min="668" max="668" width="21.44140625" bestFit="1" customWidth="1"/>
    <col min="669" max="669" width="17.6640625" bestFit="1" customWidth="1"/>
    <col min="670" max="670" width="21.44140625" bestFit="1" customWidth="1"/>
    <col min="671" max="671" width="17.6640625" bestFit="1" customWidth="1"/>
    <col min="672" max="672" width="21.44140625" bestFit="1" customWidth="1"/>
    <col min="673" max="673" width="17.6640625" bestFit="1" customWidth="1"/>
    <col min="674" max="674" width="21.44140625" bestFit="1" customWidth="1"/>
    <col min="675" max="675" width="17.6640625" bestFit="1" customWidth="1"/>
    <col min="676" max="676" width="21.44140625" bestFit="1" customWidth="1"/>
    <col min="677" max="677" width="17.6640625" bestFit="1" customWidth="1"/>
    <col min="678" max="678" width="21.44140625" bestFit="1" customWidth="1"/>
    <col min="679" max="679" width="17.6640625" bestFit="1" customWidth="1"/>
    <col min="680" max="680" width="21.44140625" bestFit="1" customWidth="1"/>
    <col min="681" max="681" width="17.6640625" bestFit="1" customWidth="1"/>
    <col min="682" max="682" width="21.44140625" bestFit="1" customWidth="1"/>
    <col min="683" max="683" width="17.6640625" bestFit="1" customWidth="1"/>
    <col min="684" max="684" width="21.44140625" bestFit="1" customWidth="1"/>
    <col min="685" max="685" width="17.6640625" bestFit="1" customWidth="1"/>
    <col min="686" max="686" width="21.44140625" bestFit="1" customWidth="1"/>
    <col min="687" max="687" width="17.6640625" bestFit="1" customWidth="1"/>
    <col min="688" max="688" width="21.44140625" bestFit="1" customWidth="1"/>
    <col min="689" max="689" width="17.6640625" bestFit="1" customWidth="1"/>
    <col min="690" max="690" width="21.44140625" bestFit="1" customWidth="1"/>
    <col min="691" max="691" width="17.6640625" bestFit="1" customWidth="1"/>
    <col min="692" max="692" width="21.44140625" bestFit="1" customWidth="1"/>
    <col min="693" max="693" width="17.6640625" bestFit="1" customWidth="1"/>
    <col min="694" max="694" width="21.44140625" bestFit="1" customWidth="1"/>
    <col min="695" max="695" width="17.6640625" bestFit="1" customWidth="1"/>
    <col min="696" max="696" width="21.44140625" bestFit="1" customWidth="1"/>
    <col min="697" max="697" width="17.6640625" bestFit="1" customWidth="1"/>
    <col min="698" max="698" width="21.44140625" bestFit="1" customWidth="1"/>
    <col min="699" max="699" width="17.6640625" bestFit="1" customWidth="1"/>
    <col min="700" max="700" width="21.44140625" bestFit="1" customWidth="1"/>
    <col min="701" max="701" width="17.6640625" bestFit="1" customWidth="1"/>
    <col min="702" max="702" width="21.44140625" bestFit="1" customWidth="1"/>
    <col min="703" max="703" width="17.6640625" bestFit="1" customWidth="1"/>
    <col min="704" max="704" width="21.44140625" bestFit="1" customWidth="1"/>
    <col min="705" max="705" width="17.6640625" bestFit="1" customWidth="1"/>
    <col min="706" max="706" width="21.44140625" bestFit="1" customWidth="1"/>
    <col min="707" max="707" width="17.6640625" bestFit="1" customWidth="1"/>
    <col min="708" max="708" width="21.44140625" bestFit="1" customWidth="1"/>
    <col min="709" max="709" width="17.6640625" bestFit="1" customWidth="1"/>
    <col min="710" max="710" width="21.44140625" bestFit="1" customWidth="1"/>
    <col min="711" max="711" width="17.6640625" bestFit="1" customWidth="1"/>
    <col min="712" max="712" width="21.44140625" bestFit="1" customWidth="1"/>
    <col min="713" max="713" width="17.6640625" bestFit="1" customWidth="1"/>
    <col min="714" max="714" width="21.44140625" bestFit="1" customWidth="1"/>
    <col min="715" max="715" width="17.6640625" bestFit="1" customWidth="1"/>
    <col min="716" max="716" width="21.44140625" bestFit="1" customWidth="1"/>
    <col min="717" max="717" width="17.6640625" bestFit="1" customWidth="1"/>
    <col min="718" max="718" width="21.44140625" bestFit="1" customWidth="1"/>
    <col min="719" max="719" width="17.6640625" bestFit="1" customWidth="1"/>
    <col min="720" max="720" width="21.44140625" bestFit="1" customWidth="1"/>
    <col min="721" max="721" width="17.6640625" bestFit="1" customWidth="1"/>
    <col min="722" max="722" width="21.44140625" bestFit="1" customWidth="1"/>
    <col min="723" max="723" width="17.6640625" bestFit="1" customWidth="1"/>
    <col min="724" max="724" width="21.44140625" bestFit="1" customWidth="1"/>
    <col min="725" max="725" width="17.6640625" bestFit="1" customWidth="1"/>
    <col min="726" max="726" width="21.44140625" bestFit="1" customWidth="1"/>
    <col min="727" max="727" width="17.6640625" bestFit="1" customWidth="1"/>
    <col min="728" max="728" width="21.44140625" bestFit="1" customWidth="1"/>
    <col min="729" max="729" width="17.6640625" bestFit="1" customWidth="1"/>
    <col min="730" max="730" width="21.44140625" bestFit="1" customWidth="1"/>
    <col min="731" max="731" width="17.6640625" bestFit="1" customWidth="1"/>
    <col min="732" max="732" width="21.44140625" bestFit="1" customWidth="1"/>
    <col min="733" max="733" width="17.6640625" bestFit="1" customWidth="1"/>
    <col min="734" max="734" width="21.44140625" bestFit="1" customWidth="1"/>
    <col min="735" max="735" width="17.6640625" bestFit="1" customWidth="1"/>
    <col min="736" max="736" width="21.44140625" bestFit="1" customWidth="1"/>
    <col min="737" max="737" width="17.6640625" bestFit="1" customWidth="1"/>
    <col min="738" max="738" width="21.44140625" bestFit="1" customWidth="1"/>
    <col min="739" max="739" width="17.6640625" bestFit="1" customWidth="1"/>
    <col min="740" max="740" width="21.44140625" bestFit="1" customWidth="1"/>
    <col min="741" max="741" width="17.6640625" bestFit="1" customWidth="1"/>
    <col min="742" max="742" width="21.44140625" bestFit="1" customWidth="1"/>
    <col min="743" max="743" width="17.6640625" bestFit="1" customWidth="1"/>
    <col min="744" max="744" width="21.44140625" bestFit="1" customWidth="1"/>
    <col min="745" max="745" width="17.6640625" bestFit="1" customWidth="1"/>
    <col min="746" max="746" width="21.44140625" bestFit="1" customWidth="1"/>
    <col min="747" max="747" width="17.6640625" bestFit="1" customWidth="1"/>
    <col min="748" max="748" width="21.44140625" bestFit="1" customWidth="1"/>
    <col min="749" max="749" width="17.6640625" bestFit="1" customWidth="1"/>
    <col min="750" max="750" width="21.44140625" bestFit="1" customWidth="1"/>
    <col min="751" max="751" width="17.6640625" bestFit="1" customWidth="1"/>
    <col min="752" max="752" width="21.44140625" bestFit="1" customWidth="1"/>
    <col min="753" max="753" width="17.6640625" bestFit="1" customWidth="1"/>
    <col min="754" max="754" width="21.44140625" bestFit="1" customWidth="1"/>
    <col min="755" max="755" width="17.6640625" bestFit="1" customWidth="1"/>
    <col min="756" max="756" width="21.44140625" bestFit="1" customWidth="1"/>
    <col min="757" max="757" width="17.6640625" bestFit="1" customWidth="1"/>
    <col min="758" max="758" width="21.44140625" bestFit="1" customWidth="1"/>
    <col min="759" max="759" width="17.6640625" bestFit="1" customWidth="1"/>
    <col min="760" max="760" width="21.44140625" bestFit="1" customWidth="1"/>
    <col min="761" max="761" width="17.6640625" bestFit="1" customWidth="1"/>
    <col min="762" max="762" width="21.44140625" bestFit="1" customWidth="1"/>
    <col min="763" max="763" width="17.6640625" bestFit="1" customWidth="1"/>
    <col min="764" max="764" width="21.44140625" bestFit="1" customWidth="1"/>
    <col min="765" max="765" width="17.6640625" bestFit="1" customWidth="1"/>
    <col min="766" max="766" width="21.44140625" bestFit="1" customWidth="1"/>
    <col min="767" max="767" width="17.6640625" bestFit="1" customWidth="1"/>
    <col min="768" max="768" width="21.44140625" bestFit="1" customWidth="1"/>
    <col min="769" max="769" width="17.6640625" bestFit="1" customWidth="1"/>
    <col min="770" max="770" width="21.44140625" bestFit="1" customWidth="1"/>
    <col min="771" max="771" width="17.6640625" bestFit="1" customWidth="1"/>
    <col min="772" max="772" width="21.44140625" bestFit="1" customWidth="1"/>
    <col min="773" max="773" width="17.6640625" bestFit="1" customWidth="1"/>
    <col min="774" max="774" width="21.44140625" bestFit="1" customWidth="1"/>
    <col min="775" max="775" width="17.6640625" bestFit="1" customWidth="1"/>
    <col min="776" max="776" width="21.44140625" bestFit="1" customWidth="1"/>
    <col min="777" max="777" width="17.6640625" bestFit="1" customWidth="1"/>
    <col min="778" max="778" width="21.44140625" bestFit="1" customWidth="1"/>
    <col min="779" max="779" width="17.6640625" bestFit="1" customWidth="1"/>
    <col min="780" max="780" width="21.44140625" bestFit="1" customWidth="1"/>
    <col min="781" max="781" width="17.6640625" bestFit="1" customWidth="1"/>
    <col min="782" max="782" width="21.44140625" bestFit="1" customWidth="1"/>
    <col min="783" max="783" width="17.6640625" bestFit="1" customWidth="1"/>
    <col min="784" max="784" width="21.44140625" bestFit="1" customWidth="1"/>
    <col min="785" max="785" width="17.6640625" bestFit="1" customWidth="1"/>
    <col min="786" max="786" width="21.44140625" bestFit="1" customWidth="1"/>
    <col min="787" max="787" width="17.6640625" bestFit="1" customWidth="1"/>
    <col min="788" max="788" width="21.44140625" bestFit="1" customWidth="1"/>
    <col min="789" max="789" width="17.6640625" bestFit="1" customWidth="1"/>
    <col min="790" max="790" width="21.44140625" bestFit="1" customWidth="1"/>
    <col min="791" max="791" width="17.6640625" bestFit="1" customWidth="1"/>
    <col min="792" max="792" width="21.44140625" bestFit="1" customWidth="1"/>
    <col min="793" max="793" width="17.6640625" bestFit="1" customWidth="1"/>
    <col min="794" max="794" width="21.44140625" bestFit="1" customWidth="1"/>
    <col min="795" max="795" width="17.6640625" bestFit="1" customWidth="1"/>
    <col min="796" max="796" width="21.44140625" bestFit="1" customWidth="1"/>
    <col min="797" max="797" width="17.6640625" bestFit="1" customWidth="1"/>
    <col min="798" max="798" width="21.44140625" bestFit="1" customWidth="1"/>
    <col min="799" max="799" width="17.6640625" bestFit="1" customWidth="1"/>
    <col min="800" max="800" width="21.44140625" bestFit="1" customWidth="1"/>
    <col min="801" max="801" width="17.6640625" bestFit="1" customWidth="1"/>
    <col min="802" max="802" width="21.44140625" bestFit="1" customWidth="1"/>
    <col min="803" max="803" width="17.6640625" bestFit="1" customWidth="1"/>
    <col min="804" max="804" width="21.44140625" bestFit="1" customWidth="1"/>
    <col min="805" max="805" width="17.6640625" bestFit="1" customWidth="1"/>
    <col min="806" max="806" width="21.44140625" bestFit="1" customWidth="1"/>
    <col min="807" max="807" width="17.6640625" bestFit="1" customWidth="1"/>
    <col min="808" max="808" width="21.44140625" bestFit="1" customWidth="1"/>
    <col min="809" max="809" width="17.6640625" bestFit="1" customWidth="1"/>
    <col min="810" max="810" width="21.44140625" bestFit="1" customWidth="1"/>
    <col min="811" max="811" width="17.6640625" bestFit="1" customWidth="1"/>
    <col min="812" max="812" width="21.44140625" bestFit="1" customWidth="1"/>
    <col min="813" max="813" width="17.6640625" bestFit="1" customWidth="1"/>
    <col min="814" max="814" width="21.44140625" bestFit="1" customWidth="1"/>
    <col min="815" max="815" width="17.6640625" bestFit="1" customWidth="1"/>
    <col min="816" max="816" width="21.44140625" bestFit="1" customWidth="1"/>
    <col min="817" max="817" width="17.6640625" bestFit="1" customWidth="1"/>
    <col min="818" max="818" width="21.44140625" bestFit="1" customWidth="1"/>
    <col min="819" max="819" width="17.6640625" bestFit="1" customWidth="1"/>
    <col min="820" max="820" width="21.44140625" bestFit="1" customWidth="1"/>
    <col min="821" max="821" width="17.6640625" bestFit="1" customWidth="1"/>
    <col min="822" max="822" width="21.44140625" bestFit="1" customWidth="1"/>
    <col min="823" max="823" width="17.6640625" bestFit="1" customWidth="1"/>
    <col min="824" max="824" width="21.44140625" bestFit="1" customWidth="1"/>
    <col min="825" max="825" width="17.6640625" bestFit="1" customWidth="1"/>
    <col min="826" max="826" width="21.44140625" bestFit="1" customWidth="1"/>
    <col min="827" max="827" width="17.6640625" bestFit="1" customWidth="1"/>
    <col min="828" max="828" width="21.44140625" bestFit="1" customWidth="1"/>
    <col min="829" max="829" width="17.6640625" bestFit="1" customWidth="1"/>
    <col min="830" max="830" width="21.44140625" bestFit="1" customWidth="1"/>
    <col min="831" max="831" width="17.6640625" bestFit="1" customWidth="1"/>
    <col min="832" max="832" width="21.44140625" bestFit="1" customWidth="1"/>
    <col min="833" max="833" width="17.6640625" bestFit="1" customWidth="1"/>
    <col min="834" max="834" width="21.44140625" bestFit="1" customWidth="1"/>
    <col min="835" max="835" width="17.6640625" bestFit="1" customWidth="1"/>
    <col min="836" max="836" width="21.44140625" bestFit="1" customWidth="1"/>
    <col min="837" max="837" width="17.6640625" bestFit="1" customWidth="1"/>
    <col min="838" max="838" width="21.44140625" bestFit="1" customWidth="1"/>
    <col min="839" max="839" width="17.6640625" bestFit="1" customWidth="1"/>
    <col min="840" max="840" width="21.44140625" bestFit="1" customWidth="1"/>
    <col min="841" max="841" width="11.109375" bestFit="1" customWidth="1"/>
  </cols>
  <sheetData>
    <row r="3" spans="1:2" x14ac:dyDescent="0.3">
      <c r="A3" s="5" t="s">
        <v>85</v>
      </c>
      <c r="B3" t="s">
        <v>88</v>
      </c>
    </row>
    <row r="4" spans="1:2" x14ac:dyDescent="0.3">
      <c r="A4" s="6">
        <v>2011</v>
      </c>
      <c r="B4" s="1">
        <v>100977539.73333333</v>
      </c>
    </row>
    <row r="5" spans="1:2" x14ac:dyDescent="0.3">
      <c r="A5" s="6">
        <v>2012</v>
      </c>
      <c r="B5" s="1">
        <v>107020218.46666667</v>
      </c>
    </row>
    <row r="6" spans="1:2" x14ac:dyDescent="0.3">
      <c r="A6" s="6">
        <v>2013</v>
      </c>
      <c r="B6" s="1">
        <v>110210709.26666667</v>
      </c>
    </row>
    <row r="7" spans="1:2" x14ac:dyDescent="0.3">
      <c r="A7" s="6">
        <v>2014</v>
      </c>
      <c r="B7" s="1">
        <v>119153963.23333333</v>
      </c>
    </row>
    <row r="8" spans="1:2" x14ac:dyDescent="0.3">
      <c r="A8" s="6">
        <v>2015</v>
      </c>
      <c r="B8" s="1">
        <v>127587928.03333333</v>
      </c>
    </row>
    <row r="9" spans="1:2" x14ac:dyDescent="0.3">
      <c r="A9" s="6">
        <v>2016</v>
      </c>
      <c r="B9" s="1">
        <v>133151989.66666667</v>
      </c>
    </row>
    <row r="10" spans="1:2" x14ac:dyDescent="0.3">
      <c r="A10" s="6">
        <v>2017</v>
      </c>
      <c r="B10" s="1">
        <v>139775063</v>
      </c>
    </row>
    <row r="11" spans="1:2" x14ac:dyDescent="0.3">
      <c r="A11" s="6">
        <v>2018</v>
      </c>
      <c r="B11" s="1">
        <v>138377587.56666666</v>
      </c>
    </row>
    <row r="12" spans="1:2" x14ac:dyDescent="0.3">
      <c r="A12" s="6">
        <v>2019</v>
      </c>
      <c r="B12" s="1">
        <v>137687933.5</v>
      </c>
    </row>
    <row r="13" spans="1:2" x14ac:dyDescent="0.3">
      <c r="A13" s="6">
        <v>2020</v>
      </c>
      <c r="B13" s="1">
        <v>61206653</v>
      </c>
    </row>
    <row r="14" spans="1:2" x14ac:dyDescent="0.3">
      <c r="A14" s="6">
        <v>2021</v>
      </c>
      <c r="B14" s="1">
        <v>131080269.7</v>
      </c>
    </row>
    <row r="15" spans="1:2" x14ac:dyDescent="0.3">
      <c r="A15" s="6">
        <v>2022</v>
      </c>
      <c r="B15" s="1">
        <v>149792155.23333332</v>
      </c>
    </row>
    <row r="16" spans="1:2" x14ac:dyDescent="0.3">
      <c r="A16" s="6">
        <v>2023</v>
      </c>
      <c r="B16" s="1">
        <v>164410077.43333334</v>
      </c>
    </row>
    <row r="17" spans="1:2" x14ac:dyDescent="0.3">
      <c r="A17" s="6">
        <v>2024</v>
      </c>
      <c r="B17" s="1">
        <v>166599229.63333333</v>
      </c>
    </row>
    <row r="18" spans="1:2" x14ac:dyDescent="0.3">
      <c r="A18" s="6" t="s">
        <v>86</v>
      </c>
      <c r="B18" s="1">
        <v>127645094.1047619</v>
      </c>
    </row>
    <row r="19" spans="1:2" x14ac:dyDescent="0.3">
      <c r="A19" s="6"/>
      <c r="B19" s="1"/>
    </row>
    <row r="20" spans="1:2" x14ac:dyDescent="0.3">
      <c r="A20" s="5" t="s">
        <v>2</v>
      </c>
      <c r="B20" t="s">
        <v>87</v>
      </c>
    </row>
    <row r="22" spans="1:2" x14ac:dyDescent="0.3">
      <c r="A22" s="5" t="s">
        <v>85</v>
      </c>
      <c r="B22" t="s">
        <v>89</v>
      </c>
    </row>
    <row r="23" spans="1:2" x14ac:dyDescent="0.3">
      <c r="A23" s="6" t="s">
        <v>72</v>
      </c>
      <c r="B23" s="1">
        <v>2579332.8120372733</v>
      </c>
    </row>
    <row r="24" spans="1:2" x14ac:dyDescent="0.3">
      <c r="A24" s="6" t="s">
        <v>52</v>
      </c>
      <c r="B24" s="1">
        <v>2386090.5865531177</v>
      </c>
    </row>
    <row r="25" spans="1:2" x14ac:dyDescent="0.3">
      <c r="A25" s="6" t="s">
        <v>48</v>
      </c>
      <c r="B25" s="1">
        <v>2368018.7253851006</v>
      </c>
    </row>
    <row r="26" spans="1:2" x14ac:dyDescent="0.3">
      <c r="A26" s="6" t="s">
        <v>74</v>
      </c>
      <c r="B26" s="1">
        <v>2209401.2715388434</v>
      </c>
    </row>
    <row r="27" spans="1:2" x14ac:dyDescent="0.3">
      <c r="A27" s="6" t="s">
        <v>60</v>
      </c>
      <c r="B27" s="1">
        <v>2191747.4323492139</v>
      </c>
    </row>
    <row r="28" spans="1:2" x14ac:dyDescent="0.3">
      <c r="A28" s="6" t="s">
        <v>56</v>
      </c>
      <c r="B28" s="1">
        <v>2152569.1387341432</v>
      </c>
    </row>
    <row r="29" spans="1:2" x14ac:dyDescent="0.3">
      <c r="A29" s="6" t="s">
        <v>54</v>
      </c>
      <c r="B29" s="1">
        <v>2134318.4713308197</v>
      </c>
    </row>
    <row r="30" spans="1:2" x14ac:dyDescent="0.3">
      <c r="A30" s="6" t="s">
        <v>62</v>
      </c>
      <c r="B30" s="1">
        <v>2001290.2695258479</v>
      </c>
    </row>
    <row r="31" spans="1:2" x14ac:dyDescent="0.3">
      <c r="A31" s="6" t="s">
        <v>64</v>
      </c>
      <c r="B31" s="1">
        <v>1876861.6588967687</v>
      </c>
    </row>
    <row r="32" spans="1:2" x14ac:dyDescent="0.3">
      <c r="A32" s="6" t="s">
        <v>20</v>
      </c>
      <c r="B32" s="1">
        <v>1858814.6004125031</v>
      </c>
    </row>
    <row r="33" spans="1:2" x14ac:dyDescent="0.3">
      <c r="A33" s="6" t="s">
        <v>68</v>
      </c>
      <c r="B33" s="1">
        <v>1823442.8703792316</v>
      </c>
    </row>
    <row r="34" spans="1:2" x14ac:dyDescent="0.3">
      <c r="A34" s="6" t="s">
        <v>50</v>
      </c>
      <c r="B34" s="1">
        <v>1773013.6528044546</v>
      </c>
    </row>
    <row r="35" spans="1:2" x14ac:dyDescent="0.3">
      <c r="A35" s="6" t="s">
        <v>34</v>
      </c>
      <c r="B35" s="1">
        <v>1740464.2330206723</v>
      </c>
    </row>
    <row r="36" spans="1:2" x14ac:dyDescent="0.3">
      <c r="A36" s="6" t="s">
        <v>70</v>
      </c>
      <c r="B36" s="1">
        <v>1731965.5525945139</v>
      </c>
    </row>
    <row r="37" spans="1:2" x14ac:dyDescent="0.3">
      <c r="A37" s="6" t="s">
        <v>46</v>
      </c>
      <c r="B37" s="1">
        <v>1708086.3864389944</v>
      </c>
    </row>
    <row r="38" spans="1:2" x14ac:dyDescent="0.3">
      <c r="A38" s="6" t="s">
        <v>66</v>
      </c>
      <c r="B38" s="1">
        <v>1615962.7597570724</v>
      </c>
    </row>
    <row r="39" spans="1:2" x14ac:dyDescent="0.3">
      <c r="A39" s="6" t="s">
        <v>42</v>
      </c>
      <c r="B39" s="1">
        <v>1571257.5416296429</v>
      </c>
    </row>
    <row r="40" spans="1:2" x14ac:dyDescent="0.3">
      <c r="A40" s="6" t="s">
        <v>58</v>
      </c>
      <c r="B40" s="1">
        <v>1564514.8512330351</v>
      </c>
    </row>
    <row r="41" spans="1:2" x14ac:dyDescent="0.3">
      <c r="A41" s="6" t="s">
        <v>40</v>
      </c>
      <c r="B41" s="1">
        <v>1547711.2814958186</v>
      </c>
    </row>
    <row r="42" spans="1:2" x14ac:dyDescent="0.3">
      <c r="A42" s="6" t="s">
        <v>38</v>
      </c>
      <c r="B42" s="1">
        <v>1544332.4049355274</v>
      </c>
    </row>
    <row r="43" spans="1:2" x14ac:dyDescent="0.3">
      <c r="A43" s="6" t="s">
        <v>44</v>
      </c>
      <c r="B43" s="1">
        <v>1422950.9138567115</v>
      </c>
    </row>
    <row r="44" spans="1:2" x14ac:dyDescent="0.3">
      <c r="A44" s="6" t="s">
        <v>30</v>
      </c>
      <c r="B44" s="1">
        <v>1422210.3809774455</v>
      </c>
    </row>
    <row r="45" spans="1:2" x14ac:dyDescent="0.3">
      <c r="A45" s="6" t="s">
        <v>32</v>
      </c>
      <c r="B45" s="1">
        <v>1418356.8943774258</v>
      </c>
    </row>
    <row r="46" spans="1:2" x14ac:dyDescent="0.3">
      <c r="A46" s="6" t="s">
        <v>26</v>
      </c>
      <c r="B46" s="1">
        <v>1313354.9772498615</v>
      </c>
    </row>
    <row r="47" spans="1:2" x14ac:dyDescent="0.3">
      <c r="A47" s="6" t="s">
        <v>28</v>
      </c>
      <c r="B47" s="1">
        <v>1211809.1627566468</v>
      </c>
    </row>
    <row r="48" spans="1:2" x14ac:dyDescent="0.3">
      <c r="A48" s="6" t="s">
        <v>36</v>
      </c>
      <c r="B48" s="1">
        <v>1131117.7940575753</v>
      </c>
    </row>
    <row r="49" spans="1:5" x14ac:dyDescent="0.3">
      <c r="A49" s="6" t="s">
        <v>23</v>
      </c>
      <c r="B49" s="1">
        <v>1050558.1636715734</v>
      </c>
    </row>
    <row r="50" spans="1:5" x14ac:dyDescent="0.3">
      <c r="A50" s="6" t="s">
        <v>16</v>
      </c>
      <c r="B50" s="1">
        <v>1005674.1509823265</v>
      </c>
    </row>
    <row r="51" spans="1:5" x14ac:dyDescent="0.3">
      <c r="A51" s="6" t="s">
        <v>13</v>
      </c>
      <c r="B51" s="1">
        <v>971574.78531288658</v>
      </c>
    </row>
    <row r="52" spans="1:5" x14ac:dyDescent="0.3">
      <c r="A52" s="6" t="s">
        <v>18</v>
      </c>
      <c r="B52" s="1">
        <v>835593.27472536196</v>
      </c>
    </row>
    <row r="53" spans="1:5" x14ac:dyDescent="0.3">
      <c r="A53" s="6" t="s">
        <v>86</v>
      </c>
      <c r="B53">
        <v>1672079.8999673477</v>
      </c>
    </row>
    <row r="56" spans="1:5" x14ac:dyDescent="0.3">
      <c r="A56" s="5" t="s">
        <v>85</v>
      </c>
      <c r="B56" t="s">
        <v>93</v>
      </c>
      <c r="C56" t="s">
        <v>90</v>
      </c>
      <c r="D56" t="s">
        <v>91</v>
      </c>
      <c r="E56" t="s">
        <v>92</v>
      </c>
    </row>
    <row r="57" spans="1:5" x14ac:dyDescent="0.3">
      <c r="A57" s="6" t="s">
        <v>24</v>
      </c>
      <c r="B57" s="3">
        <v>0.83775903038265498</v>
      </c>
      <c r="C57" s="3">
        <v>6.515901992332418E-2</v>
      </c>
      <c r="D57" s="3">
        <v>7.8534419445215081E-2</v>
      </c>
      <c r="E57" s="3">
        <v>1.4291963596262865E-2</v>
      </c>
    </row>
    <row r="58" spans="1:5" x14ac:dyDescent="0.3">
      <c r="A58" s="6" t="s">
        <v>14</v>
      </c>
      <c r="B58" s="3">
        <v>0.68419885408011516</v>
      </c>
      <c r="C58" s="3">
        <v>0.11250404122833904</v>
      </c>
      <c r="D58" s="3">
        <v>0.18300076361877157</v>
      </c>
      <c r="E58" s="3">
        <v>1.4695150920968446E-2</v>
      </c>
    </row>
    <row r="59" spans="1:5" x14ac:dyDescent="0.3">
      <c r="A59" s="6" t="s">
        <v>21</v>
      </c>
      <c r="B59" s="3">
        <v>0.79482100184118842</v>
      </c>
      <c r="C59" s="3">
        <v>7.6765175508293884E-2</v>
      </c>
      <c r="D59" s="3">
        <v>0.10784041022022514</v>
      </c>
      <c r="E59" s="3">
        <v>1.2534267953275693E-2</v>
      </c>
    </row>
    <row r="60" spans="1:5" x14ac:dyDescent="0.3">
      <c r="A60" s="6" t="s">
        <v>86</v>
      </c>
      <c r="B60" s="3">
        <v>0.73071405330649097</v>
      </c>
      <c r="C60" s="3">
        <v>9.7929484721615306E-2</v>
      </c>
      <c r="D60" s="3">
        <v>0.15137030144141086</v>
      </c>
      <c r="E60" s="3">
        <v>1.4305815889214077E-2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7E5D-297C-4FBF-8E16-DC790507387E}">
  <dimension ref="A1:D421"/>
  <sheetViews>
    <sheetView workbookViewId="0">
      <selection activeCell="G25" sqref="G25"/>
    </sheetView>
  </sheetViews>
  <sheetFormatPr defaultRowHeight="14.4" x14ac:dyDescent="0.3"/>
  <cols>
    <col min="1" max="1" width="19.6640625" bestFit="1" customWidth="1"/>
    <col min="2" max="2" width="6.88671875" bestFit="1" customWidth="1"/>
    <col min="3" max="3" width="23.6640625" bestFit="1" customWidth="1"/>
    <col min="4" max="4" width="12.21875" customWidth="1"/>
  </cols>
  <sheetData>
    <row r="1" spans="1:4" x14ac:dyDescent="0.3">
      <c r="A1" s="7" t="s">
        <v>1</v>
      </c>
      <c r="B1" s="4" t="s">
        <v>2</v>
      </c>
      <c r="C1" s="7" t="s">
        <v>4</v>
      </c>
      <c r="D1" s="7" t="s">
        <v>76</v>
      </c>
    </row>
    <row r="2" spans="1:4" x14ac:dyDescent="0.3">
      <c r="A2" t="s">
        <v>26</v>
      </c>
      <c r="B2">
        <v>2020</v>
      </c>
      <c r="C2" s="1">
        <v>23478635</v>
      </c>
      <c r="D2" s="2">
        <f>IF(mlb_payrolls[[#This Row],[Games]] &gt;0, mlb_payrolls[[#This Row],[Wins]]/mlb_payrolls[[#This Row],[Games]], "")</f>
        <v>0.41666666666666669</v>
      </c>
    </row>
    <row r="3" spans="1:4" x14ac:dyDescent="0.3">
      <c r="A3" t="s">
        <v>16</v>
      </c>
      <c r="B3">
        <v>2020</v>
      </c>
      <c r="C3" s="1">
        <v>25343022</v>
      </c>
      <c r="D3" s="2">
        <f>IF(mlb_payrolls[[#This Row],[Games]] &gt;0, mlb_payrolls[[#This Row],[Wins]]/mlb_payrolls[[#This Row],[Games]], "")</f>
        <v>0.31666666666666665</v>
      </c>
    </row>
    <row r="4" spans="1:4" x14ac:dyDescent="0.3">
      <c r="A4" t="s">
        <v>18</v>
      </c>
      <c r="B4">
        <v>2020</v>
      </c>
      <c r="C4" s="1">
        <v>28290689</v>
      </c>
      <c r="D4" s="2">
        <f>IF(mlb_payrolls[[#This Row],[Games]] &gt;0, mlb_payrolls[[#This Row],[Wins]]/mlb_payrolls[[#This Row],[Games]], "")</f>
        <v>0.66666666666666663</v>
      </c>
    </row>
    <row r="5" spans="1:4" x14ac:dyDescent="0.3">
      <c r="A5" t="s">
        <v>66</v>
      </c>
      <c r="B5">
        <v>2013</v>
      </c>
      <c r="C5" s="1">
        <v>28727913</v>
      </c>
      <c r="D5" s="2">
        <f>IF(mlb_payrolls[[#This Row],[Games]] &gt;0, mlb_payrolls[[#This Row],[Wins]]/mlb_payrolls[[#This Row],[Games]], "")</f>
        <v>0.31481481481481483</v>
      </c>
    </row>
    <row r="6" spans="1:4" x14ac:dyDescent="0.3">
      <c r="A6" t="s">
        <v>36</v>
      </c>
      <c r="B6">
        <v>2020</v>
      </c>
      <c r="C6" s="1">
        <v>33901920</v>
      </c>
      <c r="D6" s="2">
        <f>IF(mlb_payrolls[[#This Row],[Games]] &gt;0, mlb_payrolls[[#This Row],[Wins]]/mlb_payrolls[[#This Row],[Games]], "")</f>
        <v>0.51666666666666672</v>
      </c>
    </row>
    <row r="7" spans="1:4" x14ac:dyDescent="0.3">
      <c r="A7" t="s">
        <v>32</v>
      </c>
      <c r="B7">
        <v>2020</v>
      </c>
      <c r="C7" s="1">
        <v>34934696</v>
      </c>
      <c r="D7" s="2">
        <f>IF(mlb_payrolls[[#This Row],[Games]] &gt;0, mlb_payrolls[[#This Row],[Wins]]/mlb_payrolls[[#This Row],[Games]], "")</f>
        <v>0.43333333333333335</v>
      </c>
    </row>
    <row r="8" spans="1:4" x14ac:dyDescent="0.3">
      <c r="A8" t="s">
        <v>36</v>
      </c>
      <c r="B8">
        <v>2013</v>
      </c>
      <c r="C8" s="1">
        <v>36209554</v>
      </c>
      <c r="D8" s="2">
        <f>IF(mlb_payrolls[[#This Row],[Games]] &gt;0, mlb_payrolls[[#This Row],[Wins]]/mlb_payrolls[[#This Row],[Games]], "")</f>
        <v>0.38271604938271603</v>
      </c>
    </row>
    <row r="9" spans="1:4" x14ac:dyDescent="0.3">
      <c r="A9" t="s">
        <v>13</v>
      </c>
      <c r="B9">
        <v>2020</v>
      </c>
      <c r="C9" s="1">
        <v>36720178</v>
      </c>
      <c r="D9" s="2">
        <f>IF(mlb_payrolls[[#This Row],[Games]] &gt;0, mlb_payrolls[[#This Row],[Wins]]/mlb_payrolls[[#This Row],[Games]], "")</f>
        <v>0.6</v>
      </c>
    </row>
    <row r="10" spans="1:4" x14ac:dyDescent="0.3">
      <c r="A10" t="s">
        <v>23</v>
      </c>
      <c r="B10">
        <v>2020</v>
      </c>
      <c r="C10" s="1">
        <v>39299107</v>
      </c>
      <c r="D10" s="2">
        <f>IF(mlb_payrolls[[#This Row],[Games]] &gt;0, mlb_payrolls[[#This Row],[Wins]]/mlb_payrolls[[#This Row],[Games]], "")</f>
        <v>0.58333333333333337</v>
      </c>
    </row>
    <row r="11" spans="1:4" x14ac:dyDescent="0.3">
      <c r="A11" t="s">
        <v>28</v>
      </c>
      <c r="B11">
        <v>2020</v>
      </c>
      <c r="C11" s="1">
        <v>41434086</v>
      </c>
      <c r="D11" s="2">
        <f>IF(mlb_payrolls[[#This Row],[Games]] &gt;0, mlb_payrolls[[#This Row],[Wins]]/mlb_payrolls[[#This Row],[Games]], "")</f>
        <v>0.48333333333333334</v>
      </c>
    </row>
    <row r="12" spans="1:4" x14ac:dyDescent="0.3">
      <c r="A12" t="s">
        <v>26</v>
      </c>
      <c r="B12">
        <v>2021</v>
      </c>
      <c r="C12" s="1">
        <v>42421870</v>
      </c>
      <c r="D12" s="2">
        <f>IF(mlb_payrolls[[#This Row],[Games]] &gt;0, mlb_payrolls[[#This Row],[Wins]]/mlb_payrolls[[#This Row],[Games]], "")</f>
        <v>0.32098765432098764</v>
      </c>
    </row>
    <row r="13" spans="1:4" x14ac:dyDescent="0.3">
      <c r="A13" t="s">
        <v>20</v>
      </c>
      <c r="B13">
        <v>2020</v>
      </c>
      <c r="C13" s="1">
        <v>43164880</v>
      </c>
      <c r="D13" s="2">
        <f>IF(mlb_payrolls[[#This Row],[Games]] &gt;0, mlb_payrolls[[#This Row],[Wins]]/mlb_payrolls[[#This Row],[Games]], "")</f>
        <v>0.39655172413793105</v>
      </c>
    </row>
    <row r="14" spans="1:4" x14ac:dyDescent="0.3">
      <c r="A14" t="s">
        <v>26</v>
      </c>
      <c r="B14">
        <v>2022</v>
      </c>
      <c r="C14" s="1">
        <v>44888388</v>
      </c>
      <c r="D14" s="2">
        <f>IF(mlb_payrolls[[#This Row],[Games]] &gt;0, mlb_payrolls[[#This Row],[Wins]]/mlb_payrolls[[#This Row],[Games]], "")</f>
        <v>0.51234567901234573</v>
      </c>
    </row>
    <row r="15" spans="1:4" x14ac:dyDescent="0.3">
      <c r="A15" t="s">
        <v>18</v>
      </c>
      <c r="B15">
        <v>2011</v>
      </c>
      <c r="C15" s="1">
        <v>45386925</v>
      </c>
      <c r="D15" s="2">
        <f>IF(mlb_payrolls[[#This Row],[Games]] &gt;0, mlb_payrolls[[#This Row],[Wins]]/mlb_payrolls[[#This Row],[Games]], "")</f>
        <v>0.56172839506172845</v>
      </c>
    </row>
    <row r="16" spans="1:4" x14ac:dyDescent="0.3">
      <c r="A16" t="s">
        <v>16</v>
      </c>
      <c r="B16">
        <v>2011</v>
      </c>
      <c r="C16" s="1">
        <v>47976645</v>
      </c>
      <c r="D16" s="2">
        <f>IF(mlb_payrolls[[#This Row],[Games]] &gt;0, mlb_payrolls[[#This Row],[Wins]]/mlb_payrolls[[#This Row],[Games]], "")</f>
        <v>0.44444444444444442</v>
      </c>
    </row>
    <row r="17" spans="1:4" x14ac:dyDescent="0.3">
      <c r="A17" t="s">
        <v>42</v>
      </c>
      <c r="B17">
        <v>2011</v>
      </c>
      <c r="C17" s="1">
        <v>48018810</v>
      </c>
      <c r="D17" s="2">
        <f>IF(mlb_payrolls[[#This Row],[Games]] &gt;0, mlb_payrolls[[#This Row],[Wins]]/mlb_payrolls[[#This Row],[Games]], "")</f>
        <v>0.43827160493827161</v>
      </c>
    </row>
    <row r="18" spans="1:4" x14ac:dyDescent="0.3">
      <c r="A18" t="s">
        <v>13</v>
      </c>
      <c r="B18">
        <v>2022</v>
      </c>
      <c r="C18" s="1">
        <v>48443900</v>
      </c>
      <c r="D18" s="2">
        <f>IF(mlb_payrolls[[#This Row],[Games]] &gt;0, mlb_payrolls[[#This Row],[Wins]]/mlb_payrolls[[#This Row],[Games]], "")</f>
        <v>0.37037037037037035</v>
      </c>
    </row>
    <row r="19" spans="1:4" x14ac:dyDescent="0.3">
      <c r="A19" t="s">
        <v>36</v>
      </c>
      <c r="B19">
        <v>2014</v>
      </c>
      <c r="C19" s="1">
        <v>50559679</v>
      </c>
      <c r="D19" s="2">
        <f>IF(mlb_payrolls[[#This Row],[Games]] &gt;0, mlb_payrolls[[#This Row],[Wins]]/mlb_payrolls[[#This Row],[Games]], "")</f>
        <v>0.47530864197530864</v>
      </c>
    </row>
    <row r="20" spans="1:4" x14ac:dyDescent="0.3">
      <c r="A20" t="s">
        <v>40</v>
      </c>
      <c r="B20">
        <v>2020</v>
      </c>
      <c r="C20" s="1">
        <v>50563459</v>
      </c>
      <c r="D20" s="2">
        <f>IF(mlb_payrolls[[#This Row],[Games]] &gt;0, mlb_payrolls[[#This Row],[Wins]]/mlb_payrolls[[#This Row],[Games]], "")</f>
        <v>0.45</v>
      </c>
    </row>
    <row r="21" spans="1:4" x14ac:dyDescent="0.3">
      <c r="A21" t="s">
        <v>23</v>
      </c>
      <c r="B21">
        <v>2021</v>
      </c>
      <c r="C21" s="1">
        <v>50670534</v>
      </c>
      <c r="D21" s="2">
        <f>IF(mlb_payrolls[[#This Row],[Games]] &gt;0, mlb_payrolls[[#This Row],[Wins]]/mlb_payrolls[[#This Row],[Games]], "")</f>
        <v>0.49382716049382713</v>
      </c>
    </row>
    <row r="22" spans="1:4" x14ac:dyDescent="0.3">
      <c r="A22" t="s">
        <v>66</v>
      </c>
      <c r="B22">
        <v>2014</v>
      </c>
      <c r="C22" s="1">
        <v>51679490</v>
      </c>
      <c r="D22" s="2">
        <f>IF(mlb_payrolls[[#This Row],[Games]] &gt;0, mlb_payrolls[[#This Row],[Wins]]/mlb_payrolls[[#This Row],[Games]], "")</f>
        <v>0.43209876543209874</v>
      </c>
    </row>
    <row r="23" spans="1:4" x14ac:dyDescent="0.3">
      <c r="A23" t="s">
        <v>32</v>
      </c>
      <c r="B23">
        <v>2011</v>
      </c>
      <c r="C23" s="1">
        <v>52486804</v>
      </c>
      <c r="D23" s="2">
        <f>IF(mlb_payrolls[[#This Row],[Games]] &gt;0, mlb_payrolls[[#This Row],[Wins]]/mlb_payrolls[[#This Row],[Games]], "")</f>
        <v>0.43827160493827161</v>
      </c>
    </row>
    <row r="24" spans="1:4" x14ac:dyDescent="0.3">
      <c r="A24" t="s">
        <v>70</v>
      </c>
      <c r="B24">
        <v>2020</v>
      </c>
      <c r="C24" s="1">
        <v>53665251</v>
      </c>
      <c r="D24" s="2">
        <f>IF(mlb_payrolls[[#This Row],[Games]] &gt;0, mlb_payrolls[[#This Row],[Wins]]/mlb_payrolls[[#This Row],[Games]], "")</f>
        <v>0.58333333333333337</v>
      </c>
    </row>
    <row r="25" spans="1:4" x14ac:dyDescent="0.3">
      <c r="A25" t="s">
        <v>68</v>
      </c>
      <c r="B25">
        <v>2020</v>
      </c>
      <c r="C25" s="1">
        <v>54237801</v>
      </c>
      <c r="D25" s="2">
        <f>IF(mlb_payrolls[[#This Row],[Games]] &gt;0, mlb_payrolls[[#This Row],[Wins]]/mlb_payrolls[[#This Row],[Games]], "")</f>
        <v>0.53333333333333333</v>
      </c>
    </row>
    <row r="26" spans="1:4" x14ac:dyDescent="0.3">
      <c r="A26" t="s">
        <v>16</v>
      </c>
      <c r="B26">
        <v>2021</v>
      </c>
      <c r="C26" s="1">
        <v>54356609</v>
      </c>
      <c r="D26" s="2">
        <f>IF(mlb_payrolls[[#This Row],[Games]] &gt;0, mlb_payrolls[[#This Row],[Wins]]/mlb_payrolls[[#This Row],[Games]], "")</f>
        <v>0.37654320987654322</v>
      </c>
    </row>
    <row r="27" spans="1:4" x14ac:dyDescent="0.3">
      <c r="A27" t="s">
        <v>66</v>
      </c>
      <c r="B27">
        <v>2012</v>
      </c>
      <c r="C27" s="1">
        <v>54547239</v>
      </c>
      <c r="D27" s="2">
        <f>IF(mlb_payrolls[[#This Row],[Games]] &gt;0, mlb_payrolls[[#This Row],[Wins]]/mlb_payrolls[[#This Row],[Games]], "")</f>
        <v>0.33950617283950618</v>
      </c>
    </row>
    <row r="28" spans="1:4" x14ac:dyDescent="0.3">
      <c r="A28" t="s">
        <v>30</v>
      </c>
      <c r="B28">
        <v>2020</v>
      </c>
      <c r="C28" s="1">
        <v>55147001</v>
      </c>
      <c r="D28" s="2">
        <f>IF(mlb_payrolls[[#This Row],[Games]] &gt;0, mlb_payrolls[[#This Row],[Wins]]/mlb_payrolls[[#This Row],[Games]], "")</f>
        <v>0.51666666666666672</v>
      </c>
    </row>
    <row r="29" spans="1:4" x14ac:dyDescent="0.3">
      <c r="A29" t="s">
        <v>23</v>
      </c>
      <c r="B29">
        <v>2011</v>
      </c>
      <c r="C29" s="1">
        <v>55960593</v>
      </c>
      <c r="D29" s="2">
        <f>IF(mlb_payrolls[[#This Row],[Games]] &gt;0, mlb_payrolls[[#This Row],[Wins]]/mlb_payrolls[[#This Row],[Games]], "")</f>
        <v>0.49382716049382713</v>
      </c>
    </row>
    <row r="30" spans="1:4" x14ac:dyDescent="0.3">
      <c r="A30" t="s">
        <v>64</v>
      </c>
      <c r="B30">
        <v>2020</v>
      </c>
      <c r="C30" s="1">
        <v>56098581</v>
      </c>
      <c r="D30" s="2">
        <f>IF(mlb_payrolls[[#This Row],[Games]] &gt;0, mlb_payrolls[[#This Row],[Wins]]/mlb_payrolls[[#This Row],[Games]], "")</f>
        <v>0.36666666666666664</v>
      </c>
    </row>
    <row r="31" spans="1:4" x14ac:dyDescent="0.3">
      <c r="A31" t="s">
        <v>16</v>
      </c>
      <c r="B31">
        <v>2022</v>
      </c>
      <c r="C31" s="1">
        <v>56184032</v>
      </c>
      <c r="D31" s="2">
        <f>IF(mlb_payrolls[[#This Row],[Games]] &gt;0, mlb_payrolls[[#This Row],[Wins]]/mlb_payrolls[[#This Row],[Games]], "")</f>
        <v>0.38271604938271603</v>
      </c>
    </row>
    <row r="32" spans="1:4" x14ac:dyDescent="0.3">
      <c r="A32" t="s">
        <v>36</v>
      </c>
      <c r="B32">
        <v>2021</v>
      </c>
      <c r="C32" s="1">
        <v>58088180</v>
      </c>
      <c r="D32" s="2">
        <f>IF(mlb_payrolls[[#This Row],[Games]] &gt;0, mlb_payrolls[[#This Row],[Wins]]/mlb_payrolls[[#This Row],[Games]], "")</f>
        <v>0.41358024691358025</v>
      </c>
    </row>
    <row r="33" spans="1:4" x14ac:dyDescent="0.3">
      <c r="A33" t="s">
        <v>38</v>
      </c>
      <c r="B33">
        <v>2020</v>
      </c>
      <c r="C33" s="1">
        <v>59679689</v>
      </c>
      <c r="D33" s="2">
        <f>IF(mlb_payrolls[[#This Row],[Games]] &gt;0, mlb_payrolls[[#This Row],[Wins]]/mlb_payrolls[[#This Row],[Games]], "")</f>
        <v>0.6</v>
      </c>
    </row>
    <row r="34" spans="1:4" x14ac:dyDescent="0.3">
      <c r="A34" t="s">
        <v>13</v>
      </c>
      <c r="B34">
        <v>2012</v>
      </c>
      <c r="C34" s="1">
        <v>60470192</v>
      </c>
      <c r="D34" s="2">
        <f>IF(mlb_payrolls[[#This Row],[Games]] &gt;0, mlb_payrolls[[#This Row],[Wins]]/mlb_payrolls[[#This Row],[Games]], "")</f>
        <v>0.58024691358024694</v>
      </c>
    </row>
    <row r="35" spans="1:4" x14ac:dyDescent="0.3">
      <c r="A35" t="s">
        <v>58</v>
      </c>
      <c r="B35">
        <v>2020</v>
      </c>
      <c r="C35" s="1">
        <v>60552671</v>
      </c>
      <c r="D35" s="2">
        <f>IF(mlb_payrolls[[#This Row],[Games]] &gt;0, mlb_payrolls[[#This Row],[Wins]]/mlb_payrolls[[#This Row],[Games]], "")</f>
        <v>0.58333333333333337</v>
      </c>
    </row>
    <row r="36" spans="1:4" x14ac:dyDescent="0.3">
      <c r="A36" t="s">
        <v>16</v>
      </c>
      <c r="B36">
        <v>2012</v>
      </c>
      <c r="C36" s="1">
        <v>61118682</v>
      </c>
      <c r="D36" s="2">
        <f>IF(mlb_payrolls[[#This Row],[Games]] &gt;0, mlb_payrolls[[#This Row],[Wins]]/mlb_payrolls[[#This Row],[Games]], "")</f>
        <v>0.48765432098765432</v>
      </c>
    </row>
    <row r="37" spans="1:4" x14ac:dyDescent="0.3">
      <c r="A37" t="s">
        <v>13</v>
      </c>
      <c r="B37">
        <v>2024</v>
      </c>
      <c r="C37" s="1">
        <v>62132581</v>
      </c>
      <c r="D37" s="2">
        <f>IF(mlb_payrolls[[#This Row],[Games]] &gt;0, mlb_payrolls[[#This Row],[Wins]]/mlb_payrolls[[#This Row],[Games]], "")</f>
        <v>0.42592592592592593</v>
      </c>
    </row>
    <row r="38" spans="1:4" x14ac:dyDescent="0.3">
      <c r="A38" t="s">
        <v>28</v>
      </c>
      <c r="B38">
        <v>2016</v>
      </c>
      <c r="C38" s="1">
        <v>62161191</v>
      </c>
      <c r="D38" s="2">
        <f>IF(mlb_payrolls[[#This Row],[Games]] &gt;0, mlb_payrolls[[#This Row],[Wins]]/mlb_payrolls[[#This Row],[Games]], "")</f>
        <v>0.45061728395061729</v>
      </c>
    </row>
    <row r="39" spans="1:4" x14ac:dyDescent="0.3">
      <c r="A39" t="s">
        <v>13</v>
      </c>
      <c r="B39">
        <v>2023</v>
      </c>
      <c r="C39" s="1">
        <v>62243227</v>
      </c>
      <c r="D39" s="2">
        <f>IF(mlb_payrolls[[#This Row],[Games]] &gt;0, mlb_payrolls[[#This Row],[Wins]]/mlb_payrolls[[#This Row],[Games]], "")</f>
        <v>0.30864197530864196</v>
      </c>
    </row>
    <row r="40" spans="1:4" x14ac:dyDescent="0.3">
      <c r="A40" t="s">
        <v>18</v>
      </c>
      <c r="B40">
        <v>2016</v>
      </c>
      <c r="C40" s="1">
        <v>62408549</v>
      </c>
      <c r="D40" s="2">
        <f>IF(mlb_payrolls[[#This Row],[Games]] &gt;0, mlb_payrolls[[#This Row],[Wins]]/mlb_payrolls[[#This Row],[Games]], "")</f>
        <v>0.41975308641975306</v>
      </c>
    </row>
    <row r="41" spans="1:4" x14ac:dyDescent="0.3">
      <c r="A41" t="s">
        <v>42</v>
      </c>
      <c r="B41">
        <v>2012</v>
      </c>
      <c r="C41" s="1">
        <v>63831125</v>
      </c>
      <c r="D41" s="2">
        <f>IF(mlb_payrolls[[#This Row],[Games]] &gt;0, mlb_payrolls[[#This Row],[Wins]]/mlb_payrolls[[#This Row],[Games]], "")</f>
        <v>0.46913580246913578</v>
      </c>
    </row>
    <row r="42" spans="1:4" x14ac:dyDescent="0.3">
      <c r="A42" t="s">
        <v>18</v>
      </c>
      <c r="B42">
        <v>2019</v>
      </c>
      <c r="C42" s="1">
        <v>64178722</v>
      </c>
      <c r="D42" s="2">
        <f>IF(mlb_payrolls[[#This Row],[Games]] &gt;0, mlb_payrolls[[#This Row],[Wins]]/mlb_payrolls[[#This Row],[Games]], "")</f>
        <v>0.59259259259259256</v>
      </c>
    </row>
    <row r="43" spans="1:4" x14ac:dyDescent="0.3">
      <c r="A43" t="s">
        <v>44</v>
      </c>
      <c r="B43">
        <v>2011</v>
      </c>
      <c r="C43" s="1">
        <v>64297970</v>
      </c>
      <c r="D43" s="2">
        <f>IF(mlb_payrolls[[#This Row],[Games]] &gt;0, mlb_payrolls[[#This Row],[Wins]]/mlb_payrolls[[#This Row],[Games]], "")</f>
        <v>0.58024691358024694</v>
      </c>
    </row>
    <row r="44" spans="1:4" x14ac:dyDescent="0.3">
      <c r="A44" t="s">
        <v>28</v>
      </c>
      <c r="B44">
        <v>2017</v>
      </c>
      <c r="C44" s="1">
        <v>64576736</v>
      </c>
      <c r="D44" s="2">
        <f>IF(mlb_payrolls[[#This Row],[Games]] &gt;0, mlb_payrolls[[#This Row],[Wins]]/mlb_payrolls[[#This Row],[Games]], "")</f>
        <v>0.53086419753086422</v>
      </c>
    </row>
    <row r="45" spans="1:4" x14ac:dyDescent="0.3">
      <c r="A45" t="s">
        <v>36</v>
      </c>
      <c r="B45">
        <v>2011</v>
      </c>
      <c r="C45" s="1">
        <v>65006851</v>
      </c>
      <c r="D45" s="2">
        <f>IF(mlb_payrolls[[#This Row],[Games]] &gt;0, mlb_payrolls[[#This Row],[Wins]]/mlb_payrolls[[#This Row],[Games]], "")</f>
        <v>0.44444444444444442</v>
      </c>
    </row>
    <row r="46" spans="1:4" x14ac:dyDescent="0.3">
      <c r="A46" t="s">
        <v>44</v>
      </c>
      <c r="B46">
        <v>2020</v>
      </c>
      <c r="C46" s="1">
        <v>65598752</v>
      </c>
      <c r="D46" s="2">
        <f>IF(mlb_payrolls[[#This Row],[Games]] &gt;0, mlb_payrolls[[#This Row],[Wins]]/mlb_payrolls[[#This Row],[Games]], "")</f>
        <v>0.41666666666666669</v>
      </c>
    </row>
    <row r="47" spans="1:4" x14ac:dyDescent="0.3">
      <c r="A47" t="s">
        <v>23</v>
      </c>
      <c r="B47">
        <v>2022</v>
      </c>
      <c r="C47" s="1">
        <v>66477492</v>
      </c>
      <c r="D47" s="2">
        <f>IF(mlb_payrolls[[#This Row],[Games]] &gt;0, mlb_payrolls[[#This Row],[Wins]]/mlb_payrolls[[#This Row],[Games]], "")</f>
        <v>0.5679012345679012</v>
      </c>
    </row>
    <row r="48" spans="1:4" x14ac:dyDescent="0.3">
      <c r="A48" t="s">
        <v>60</v>
      </c>
      <c r="B48">
        <v>2020</v>
      </c>
      <c r="C48" s="1">
        <v>67040893</v>
      </c>
      <c r="D48" s="2">
        <f>IF(mlb_payrolls[[#This Row],[Games]] &gt;0, mlb_payrolls[[#This Row],[Wins]]/mlb_payrolls[[#This Row],[Games]], "")</f>
        <v>0.43333333333333335</v>
      </c>
    </row>
    <row r="49" spans="1:4" x14ac:dyDescent="0.3">
      <c r="A49" t="s">
        <v>13</v>
      </c>
      <c r="B49">
        <v>2013</v>
      </c>
      <c r="C49" s="1">
        <v>67055517</v>
      </c>
      <c r="D49" s="2">
        <f>IF(mlb_payrolls[[#This Row],[Games]] &gt;0, mlb_payrolls[[#This Row],[Wins]]/mlb_payrolls[[#This Row],[Games]], "")</f>
        <v>0.59259259259259256</v>
      </c>
    </row>
    <row r="50" spans="1:4" x14ac:dyDescent="0.3">
      <c r="A50" t="s">
        <v>42</v>
      </c>
      <c r="B50">
        <v>2013</v>
      </c>
      <c r="C50" s="1">
        <v>67649701</v>
      </c>
      <c r="D50" s="2">
        <f>IF(mlb_payrolls[[#This Row],[Games]] &gt;0, mlb_payrolls[[#This Row],[Wins]]/mlb_payrolls[[#This Row],[Games]], "")</f>
        <v>0.46913580246913578</v>
      </c>
    </row>
    <row r="51" spans="1:4" x14ac:dyDescent="0.3">
      <c r="A51" t="s">
        <v>50</v>
      </c>
      <c r="B51">
        <v>2020</v>
      </c>
      <c r="C51" s="1">
        <v>67808533</v>
      </c>
      <c r="D51" s="2">
        <f>IF(mlb_payrolls[[#This Row],[Games]] &gt;0, mlb_payrolls[[#This Row],[Wins]]/mlb_payrolls[[#This Row],[Games]], "")</f>
        <v>0.43333333333333335</v>
      </c>
    </row>
    <row r="52" spans="1:4" x14ac:dyDescent="0.3">
      <c r="A52" t="s">
        <v>18</v>
      </c>
      <c r="B52">
        <v>2012</v>
      </c>
      <c r="C52" s="1">
        <v>68144135</v>
      </c>
      <c r="D52" s="2">
        <f>IF(mlb_payrolls[[#This Row],[Games]] &gt;0, mlb_payrolls[[#This Row],[Wins]]/mlb_payrolls[[#This Row],[Games]], "")</f>
        <v>0.55555555555555558</v>
      </c>
    </row>
    <row r="53" spans="1:4" x14ac:dyDescent="0.3">
      <c r="A53" t="s">
        <v>26</v>
      </c>
      <c r="B53">
        <v>2023</v>
      </c>
      <c r="C53" s="1">
        <v>68706439</v>
      </c>
      <c r="D53" s="2">
        <f>IF(mlb_payrolls[[#This Row],[Games]] &gt;0, mlb_payrolls[[#This Row],[Wins]]/mlb_payrolls[[#This Row],[Games]], "")</f>
        <v>0.62345679012345678</v>
      </c>
    </row>
    <row r="54" spans="1:4" x14ac:dyDescent="0.3">
      <c r="A54" t="s">
        <v>18</v>
      </c>
      <c r="B54">
        <v>2018</v>
      </c>
      <c r="C54" s="1">
        <v>68810167</v>
      </c>
      <c r="D54" s="2">
        <f>IF(mlb_payrolls[[#This Row],[Games]] &gt;0, mlb_payrolls[[#This Row],[Wins]]/mlb_payrolls[[#This Row],[Games]], "")</f>
        <v>0.55555555555555558</v>
      </c>
    </row>
    <row r="55" spans="1:4" x14ac:dyDescent="0.3">
      <c r="A55" t="s">
        <v>18</v>
      </c>
      <c r="B55">
        <v>2021</v>
      </c>
      <c r="C55" s="1">
        <v>70104552</v>
      </c>
      <c r="D55" s="2">
        <f>IF(mlb_payrolls[[#This Row],[Games]] &gt;0, mlb_payrolls[[#This Row],[Wins]]/mlb_payrolls[[#This Row],[Games]], "")</f>
        <v>0.61728395061728392</v>
      </c>
    </row>
    <row r="56" spans="1:4" x14ac:dyDescent="0.3">
      <c r="A56" t="s">
        <v>32</v>
      </c>
      <c r="B56">
        <v>2012</v>
      </c>
      <c r="C56" s="1">
        <v>70344235</v>
      </c>
      <c r="D56" s="2">
        <f>IF(mlb_payrolls[[#This Row],[Games]] &gt;0, mlb_payrolls[[#This Row],[Wins]]/mlb_payrolls[[#This Row],[Games]], "")</f>
        <v>0.44444444444444442</v>
      </c>
    </row>
    <row r="57" spans="1:4" x14ac:dyDescent="0.3">
      <c r="A57" t="s">
        <v>16</v>
      </c>
      <c r="B57">
        <v>2013</v>
      </c>
      <c r="C57" s="1">
        <v>71480984</v>
      </c>
      <c r="D57" s="2">
        <f>IF(mlb_payrolls[[#This Row],[Games]] &gt;0, mlb_payrolls[[#This Row],[Wins]]/mlb_payrolls[[#This Row],[Games]], "")</f>
        <v>0.58024691358024694</v>
      </c>
    </row>
    <row r="58" spans="1:4" x14ac:dyDescent="0.3">
      <c r="A58" t="s">
        <v>70</v>
      </c>
      <c r="B58">
        <v>2018</v>
      </c>
      <c r="C58" s="1">
        <v>71839808</v>
      </c>
      <c r="D58" s="2">
        <f>IF(mlb_payrolls[[#This Row],[Games]] &gt;0, mlb_payrolls[[#This Row],[Wins]]/mlb_payrolls[[#This Row],[Games]], "")</f>
        <v>0.38271604938271603</v>
      </c>
    </row>
    <row r="59" spans="1:4" x14ac:dyDescent="0.3">
      <c r="A59" t="s">
        <v>16</v>
      </c>
      <c r="B59">
        <v>2019</v>
      </c>
      <c r="C59" s="1">
        <v>72176474</v>
      </c>
      <c r="D59" s="2">
        <f>IF(mlb_payrolls[[#This Row],[Games]] &gt;0, mlb_payrolls[[#This Row],[Wins]]/mlb_payrolls[[#This Row],[Games]], "")</f>
        <v>0.42592592592592593</v>
      </c>
    </row>
    <row r="60" spans="1:4" x14ac:dyDescent="0.3">
      <c r="A60" t="s">
        <v>18</v>
      </c>
      <c r="B60">
        <v>2013</v>
      </c>
      <c r="C60" s="1">
        <v>72600703</v>
      </c>
      <c r="D60" s="2">
        <f>IF(mlb_payrolls[[#This Row],[Games]] &gt;0, mlb_payrolls[[#This Row],[Wins]]/mlb_payrolls[[#This Row],[Games]], "")</f>
        <v>0.56441717791411039</v>
      </c>
    </row>
    <row r="61" spans="1:4" x14ac:dyDescent="0.3">
      <c r="A61" t="s">
        <v>42</v>
      </c>
      <c r="B61">
        <v>2020</v>
      </c>
      <c r="C61" s="1">
        <v>72861614</v>
      </c>
      <c r="D61" s="2">
        <f>IF(mlb_payrolls[[#This Row],[Games]] &gt;0, mlb_payrolls[[#This Row],[Wins]]/mlb_payrolls[[#This Row],[Games]], "")</f>
        <v>0.6166666666666667</v>
      </c>
    </row>
    <row r="62" spans="1:4" x14ac:dyDescent="0.3">
      <c r="A62" t="s">
        <v>36</v>
      </c>
      <c r="B62">
        <v>2015</v>
      </c>
      <c r="C62" s="1">
        <v>72990525</v>
      </c>
      <c r="D62" s="2">
        <f>IF(mlb_payrolls[[#This Row],[Games]] &gt;0, mlb_payrolls[[#This Row],[Wins]]/mlb_payrolls[[#This Row],[Games]], "")</f>
        <v>0.43827160493827161</v>
      </c>
    </row>
    <row r="63" spans="1:4" x14ac:dyDescent="0.3">
      <c r="A63" t="s">
        <v>18</v>
      </c>
      <c r="B63">
        <v>2015</v>
      </c>
      <c r="C63" s="1">
        <v>73241552</v>
      </c>
      <c r="D63" s="2">
        <f>IF(mlb_payrolls[[#This Row],[Games]] &gt;0, mlb_payrolls[[#This Row],[Wins]]/mlb_payrolls[[#This Row],[Games]], "")</f>
        <v>0.49382716049382713</v>
      </c>
    </row>
    <row r="64" spans="1:4" x14ac:dyDescent="0.3">
      <c r="A64" t="s">
        <v>46</v>
      </c>
      <c r="B64">
        <v>2020</v>
      </c>
      <c r="C64" s="1">
        <v>73246343</v>
      </c>
      <c r="D64" s="2">
        <f>IF(mlb_payrolls[[#This Row],[Games]] &gt;0, mlb_payrolls[[#This Row],[Wins]]/mlb_payrolls[[#This Row],[Games]], "")</f>
        <v>0.51724137931034486</v>
      </c>
    </row>
    <row r="65" spans="1:4" x14ac:dyDescent="0.3">
      <c r="A65" t="s">
        <v>26</v>
      </c>
      <c r="B65">
        <v>2019</v>
      </c>
      <c r="C65" s="1">
        <v>73328658</v>
      </c>
      <c r="D65" s="2">
        <f>IF(mlb_payrolls[[#This Row],[Games]] &gt;0, mlb_payrolls[[#This Row],[Wins]]/mlb_payrolls[[#This Row],[Games]], "")</f>
        <v>0.33333333333333331</v>
      </c>
    </row>
    <row r="66" spans="1:4" x14ac:dyDescent="0.3">
      <c r="A66" t="s">
        <v>54</v>
      </c>
      <c r="B66">
        <v>2020</v>
      </c>
      <c r="C66" s="1">
        <v>73408817</v>
      </c>
      <c r="D66" s="2">
        <f>IF(mlb_payrolls[[#This Row],[Games]] &gt;0, mlb_payrolls[[#This Row],[Wins]]/mlb_payrolls[[#This Row],[Games]], "")</f>
        <v>0.48333333333333334</v>
      </c>
    </row>
    <row r="67" spans="1:4" x14ac:dyDescent="0.3">
      <c r="A67" t="s">
        <v>13</v>
      </c>
      <c r="B67">
        <v>2017</v>
      </c>
      <c r="C67" s="1">
        <v>73477080</v>
      </c>
      <c r="D67" s="2">
        <f>IF(mlb_payrolls[[#This Row],[Games]] &gt;0, mlb_payrolls[[#This Row],[Wins]]/mlb_payrolls[[#This Row],[Games]], "")</f>
        <v>0.46296296296296297</v>
      </c>
    </row>
    <row r="68" spans="1:4" x14ac:dyDescent="0.3">
      <c r="A68" t="s">
        <v>68</v>
      </c>
      <c r="B68">
        <v>2011</v>
      </c>
      <c r="C68" s="1">
        <v>73491604</v>
      </c>
      <c r="D68" s="2">
        <f>IF(mlb_payrolls[[#This Row],[Games]] &gt;0, mlb_payrolls[[#This Row],[Wins]]/mlb_payrolls[[#This Row],[Games]], "")</f>
        <v>0.5</v>
      </c>
    </row>
    <row r="69" spans="1:4" x14ac:dyDescent="0.3">
      <c r="A69" t="s">
        <v>56</v>
      </c>
      <c r="B69">
        <v>2020</v>
      </c>
      <c r="C69" s="1">
        <v>73543547</v>
      </c>
      <c r="D69" s="2">
        <f>IF(mlb_payrolls[[#This Row],[Games]] &gt;0, mlb_payrolls[[#This Row],[Wins]]/mlb_payrolls[[#This Row],[Games]], "")</f>
        <v>0.46666666666666667</v>
      </c>
    </row>
    <row r="70" spans="1:4" x14ac:dyDescent="0.3">
      <c r="A70" t="s">
        <v>34</v>
      </c>
      <c r="B70">
        <v>2011</v>
      </c>
      <c r="C70" s="1">
        <v>74574723</v>
      </c>
      <c r="D70" s="2">
        <f>IF(mlb_payrolls[[#This Row],[Games]] &gt;0, mlb_payrolls[[#This Row],[Wins]]/mlb_payrolls[[#This Row],[Games]], "")</f>
        <v>0.49689440993788819</v>
      </c>
    </row>
    <row r="71" spans="1:4" x14ac:dyDescent="0.3">
      <c r="A71" t="s">
        <v>16</v>
      </c>
      <c r="B71">
        <v>2023</v>
      </c>
      <c r="C71" s="1">
        <v>74670975</v>
      </c>
      <c r="D71" s="2">
        <f>IF(mlb_payrolls[[#This Row],[Games]] &gt;0, mlb_payrolls[[#This Row],[Wins]]/mlb_payrolls[[#This Row],[Games]], "")</f>
        <v>0.46913580246913578</v>
      </c>
    </row>
    <row r="72" spans="1:4" x14ac:dyDescent="0.3">
      <c r="A72" t="s">
        <v>34</v>
      </c>
      <c r="B72">
        <v>2020</v>
      </c>
      <c r="C72" s="1">
        <v>74697333</v>
      </c>
      <c r="D72" s="2">
        <f>IF(mlb_payrolls[[#This Row],[Games]] &gt;0, mlb_payrolls[[#This Row],[Wins]]/mlb_payrolls[[#This Row],[Games]], "")</f>
        <v>0.43333333333333335</v>
      </c>
    </row>
    <row r="73" spans="1:4" x14ac:dyDescent="0.3">
      <c r="A73" t="s">
        <v>18</v>
      </c>
      <c r="B73">
        <v>2023</v>
      </c>
      <c r="C73" s="1">
        <v>74948362</v>
      </c>
      <c r="D73" s="2">
        <f>IF(mlb_payrolls[[#This Row],[Games]] &gt;0, mlb_payrolls[[#This Row],[Wins]]/mlb_payrolls[[#This Row],[Games]], "")</f>
        <v>0.61111111111111116</v>
      </c>
    </row>
    <row r="74" spans="1:4" x14ac:dyDescent="0.3">
      <c r="A74" t="s">
        <v>13</v>
      </c>
      <c r="B74">
        <v>2011</v>
      </c>
      <c r="C74" s="1">
        <v>75241048</v>
      </c>
      <c r="D74" s="2">
        <f>IF(mlb_payrolls[[#This Row],[Games]] &gt;0, mlb_payrolls[[#This Row],[Wins]]/mlb_payrolls[[#This Row],[Games]], "")</f>
        <v>0.4567901234567901</v>
      </c>
    </row>
    <row r="75" spans="1:4" x14ac:dyDescent="0.3">
      <c r="A75" t="s">
        <v>36</v>
      </c>
      <c r="B75">
        <v>2019</v>
      </c>
      <c r="C75" s="1">
        <v>75596271</v>
      </c>
      <c r="D75" s="2">
        <f>IF(mlb_payrolls[[#This Row],[Games]] &gt;0, mlb_payrolls[[#This Row],[Wins]]/mlb_payrolls[[#This Row],[Games]], "")</f>
        <v>0.35185185185185186</v>
      </c>
    </row>
    <row r="76" spans="1:4" x14ac:dyDescent="0.3">
      <c r="A76" t="s">
        <v>36</v>
      </c>
      <c r="B76">
        <v>2016</v>
      </c>
      <c r="C76" s="1">
        <v>76365306</v>
      </c>
      <c r="D76" s="2">
        <f>IF(mlb_payrolls[[#This Row],[Games]] &gt;0, mlb_payrolls[[#This Row],[Wins]]/mlb_payrolls[[#This Row],[Games]], "")</f>
        <v>0.49068322981366458</v>
      </c>
    </row>
    <row r="77" spans="1:4" x14ac:dyDescent="0.3">
      <c r="A77" t="s">
        <v>23</v>
      </c>
      <c r="B77">
        <v>2012</v>
      </c>
      <c r="C77" s="1">
        <v>76577243</v>
      </c>
      <c r="D77" s="2">
        <f>IF(mlb_payrolls[[#This Row],[Games]] &gt;0, mlb_payrolls[[#This Row],[Wins]]/mlb_payrolls[[#This Row],[Games]], "")</f>
        <v>0.41975308641975306</v>
      </c>
    </row>
    <row r="78" spans="1:4" x14ac:dyDescent="0.3">
      <c r="A78" t="s">
        <v>50</v>
      </c>
      <c r="B78">
        <v>2013</v>
      </c>
      <c r="C78" s="1">
        <v>76741788</v>
      </c>
      <c r="D78" s="2">
        <f>IF(mlb_payrolls[[#This Row],[Games]] &gt;0, mlb_payrolls[[#This Row],[Wins]]/mlb_payrolls[[#This Row],[Games]], "")</f>
        <v>0.4567901234567901</v>
      </c>
    </row>
    <row r="79" spans="1:4" x14ac:dyDescent="0.3">
      <c r="A79" t="s">
        <v>44</v>
      </c>
      <c r="B79">
        <v>2015</v>
      </c>
      <c r="C79" s="1">
        <v>76781801</v>
      </c>
      <c r="D79" s="2">
        <f>IF(mlb_payrolls[[#This Row],[Games]] &gt;0, mlb_payrolls[[#This Row],[Wins]]/mlb_payrolls[[#This Row],[Games]], "")</f>
        <v>0.48765432098765432</v>
      </c>
    </row>
    <row r="80" spans="1:4" x14ac:dyDescent="0.3">
      <c r="A80" t="s">
        <v>16</v>
      </c>
      <c r="B80">
        <v>2014</v>
      </c>
      <c r="C80" s="1">
        <v>76802804</v>
      </c>
      <c r="D80" s="2">
        <f>IF(mlb_payrolls[[#This Row],[Games]] &gt;0, mlb_payrolls[[#This Row],[Wins]]/mlb_payrolls[[#This Row],[Games]], "")</f>
        <v>0.54320987654320985</v>
      </c>
    </row>
    <row r="81" spans="1:4" x14ac:dyDescent="0.3">
      <c r="A81" t="s">
        <v>18</v>
      </c>
      <c r="B81">
        <v>2014</v>
      </c>
      <c r="C81" s="1">
        <v>76821046</v>
      </c>
      <c r="D81" s="2">
        <f>IF(mlb_payrolls[[#This Row],[Games]] &gt;0, mlb_payrolls[[#This Row],[Wins]]/mlb_payrolls[[#This Row],[Games]], "")</f>
        <v>0.47530864197530864</v>
      </c>
    </row>
    <row r="82" spans="1:4" x14ac:dyDescent="0.3">
      <c r="A82" t="s">
        <v>42</v>
      </c>
      <c r="B82">
        <v>2017</v>
      </c>
      <c r="C82" s="1">
        <v>76921678</v>
      </c>
      <c r="D82" s="2">
        <f>IF(mlb_payrolls[[#This Row],[Games]] &gt;0, mlb_payrolls[[#This Row],[Wins]]/mlb_payrolls[[#This Row],[Games]], "")</f>
        <v>0.43827160493827161</v>
      </c>
    </row>
    <row r="83" spans="1:4" x14ac:dyDescent="0.3">
      <c r="A83" t="s">
        <v>23</v>
      </c>
      <c r="B83">
        <v>2015</v>
      </c>
      <c r="C83" s="1">
        <v>77404413</v>
      </c>
      <c r="D83" s="2">
        <f>IF(mlb_payrolls[[#This Row],[Games]] &gt;0, mlb_payrolls[[#This Row],[Wins]]/mlb_payrolls[[#This Row],[Games]], "")</f>
        <v>0.50310559006211175</v>
      </c>
    </row>
    <row r="84" spans="1:4" x14ac:dyDescent="0.3">
      <c r="A84" t="s">
        <v>13</v>
      </c>
      <c r="B84">
        <v>2018</v>
      </c>
      <c r="C84" s="1">
        <v>77673582</v>
      </c>
      <c r="D84" s="2">
        <f>IF(mlb_payrolls[[#This Row],[Games]] &gt;0, mlb_payrolls[[#This Row],[Wins]]/mlb_payrolls[[#This Row],[Games]], "")</f>
        <v>0.59876543209876543</v>
      </c>
    </row>
    <row r="85" spans="1:4" x14ac:dyDescent="0.3">
      <c r="A85" t="s">
        <v>18</v>
      </c>
      <c r="B85">
        <v>2017</v>
      </c>
      <c r="C85" s="1">
        <v>77811205</v>
      </c>
      <c r="D85" s="2">
        <f>IF(mlb_payrolls[[#This Row],[Games]] &gt;0, mlb_payrolls[[#This Row],[Wins]]/mlb_payrolls[[#This Row],[Games]], "")</f>
        <v>0.49382716049382713</v>
      </c>
    </row>
    <row r="86" spans="1:4" x14ac:dyDescent="0.3">
      <c r="A86" t="s">
        <v>13</v>
      </c>
      <c r="B86">
        <v>2015</v>
      </c>
      <c r="C86" s="1">
        <v>80491339</v>
      </c>
      <c r="D86" s="2">
        <f>IF(mlb_payrolls[[#This Row],[Games]] &gt;0, mlb_payrolls[[#This Row],[Wins]]/mlb_payrolls[[#This Row],[Games]], "")</f>
        <v>0.41975308641975306</v>
      </c>
    </row>
    <row r="87" spans="1:4" x14ac:dyDescent="0.3">
      <c r="A87" t="s">
        <v>44</v>
      </c>
      <c r="B87">
        <v>2012</v>
      </c>
      <c r="C87" s="1">
        <v>80711013</v>
      </c>
      <c r="D87" s="2">
        <f>IF(mlb_payrolls[[#This Row],[Games]] &gt;0, mlb_payrolls[[#This Row],[Wins]]/mlb_payrolls[[#This Row],[Games]], "")</f>
        <v>0.5</v>
      </c>
    </row>
    <row r="88" spans="1:4" x14ac:dyDescent="0.3">
      <c r="A88" t="s">
        <v>38</v>
      </c>
      <c r="B88">
        <v>2013</v>
      </c>
      <c r="C88" s="1">
        <v>81300970</v>
      </c>
      <c r="D88" s="2">
        <f>IF(mlb_payrolls[[#This Row],[Games]] &gt;0, mlb_payrolls[[#This Row],[Wins]]/mlb_payrolls[[#This Row],[Games]], "")</f>
        <v>0.40740740740740738</v>
      </c>
    </row>
    <row r="89" spans="1:4" x14ac:dyDescent="0.3">
      <c r="A89" t="s">
        <v>66</v>
      </c>
      <c r="B89">
        <v>2015</v>
      </c>
      <c r="C89" s="1">
        <v>81341546</v>
      </c>
      <c r="D89" s="2">
        <f>IF(mlb_payrolls[[#This Row],[Games]] &gt;0, mlb_payrolls[[#This Row],[Wins]]/mlb_payrolls[[#This Row],[Games]], "")</f>
        <v>0.53086419753086422</v>
      </c>
    </row>
    <row r="90" spans="1:4" x14ac:dyDescent="0.3">
      <c r="A90" t="s">
        <v>30</v>
      </c>
      <c r="B90">
        <v>2011</v>
      </c>
      <c r="C90" s="1">
        <v>81920546</v>
      </c>
      <c r="D90" s="2">
        <f>IF(mlb_payrolls[[#This Row],[Games]] &gt;0, mlb_payrolls[[#This Row],[Wins]]/mlb_payrolls[[#This Row],[Games]], "")</f>
        <v>0.48765432098765432</v>
      </c>
    </row>
    <row r="91" spans="1:4" x14ac:dyDescent="0.3">
      <c r="A91" t="s">
        <v>74</v>
      </c>
      <c r="B91">
        <v>2020</v>
      </c>
      <c r="C91" s="1">
        <v>81945598</v>
      </c>
      <c r="D91" s="2">
        <f>IF(mlb_payrolls[[#This Row],[Games]] &gt;0, mlb_payrolls[[#This Row],[Wins]]/mlb_payrolls[[#This Row],[Games]], "")</f>
        <v>0.43333333333333335</v>
      </c>
    </row>
    <row r="92" spans="1:4" x14ac:dyDescent="0.3">
      <c r="A92" t="s">
        <v>66</v>
      </c>
      <c r="B92">
        <v>2020</v>
      </c>
      <c r="C92" s="1">
        <v>82655105</v>
      </c>
      <c r="D92" s="2">
        <f>IF(mlb_payrolls[[#This Row],[Games]] &gt;0, mlb_payrolls[[#This Row],[Wins]]/mlb_payrolls[[#This Row],[Games]], "")</f>
        <v>0.48333333333333334</v>
      </c>
    </row>
    <row r="93" spans="1:4" x14ac:dyDescent="0.3">
      <c r="A93" t="s">
        <v>40</v>
      </c>
      <c r="B93">
        <v>2013</v>
      </c>
      <c r="C93" s="1">
        <v>82720022</v>
      </c>
      <c r="D93" s="2">
        <f>IF(mlb_payrolls[[#This Row],[Games]] &gt;0, mlb_payrolls[[#This Row],[Wins]]/mlb_payrolls[[#This Row],[Games]], "")</f>
        <v>0.43827160493827161</v>
      </c>
    </row>
    <row r="94" spans="1:4" x14ac:dyDescent="0.3">
      <c r="A94" t="s">
        <v>50</v>
      </c>
      <c r="B94">
        <v>2011</v>
      </c>
      <c r="C94" s="1">
        <v>82897934</v>
      </c>
      <c r="D94" s="2">
        <f>IF(mlb_payrolls[[#This Row],[Games]] &gt;0, mlb_payrolls[[#This Row],[Wins]]/mlb_payrolls[[#This Row],[Games]], "")</f>
        <v>0.45061728395061729</v>
      </c>
    </row>
    <row r="95" spans="1:4" x14ac:dyDescent="0.3">
      <c r="A95" t="s">
        <v>26</v>
      </c>
      <c r="B95">
        <v>2012</v>
      </c>
      <c r="C95" s="1">
        <v>82932168</v>
      </c>
      <c r="D95" s="2">
        <f>IF(mlb_payrolls[[#This Row],[Games]] &gt;0, mlb_payrolls[[#This Row],[Wins]]/mlb_payrolls[[#This Row],[Games]], "")</f>
        <v>0.57407407407407407</v>
      </c>
    </row>
    <row r="96" spans="1:4" x14ac:dyDescent="0.3">
      <c r="A96" t="s">
        <v>13</v>
      </c>
      <c r="B96">
        <v>2016</v>
      </c>
      <c r="C96" s="1">
        <v>83109288</v>
      </c>
      <c r="D96" s="2">
        <f>IF(mlb_payrolls[[#This Row],[Games]] &gt;0, mlb_payrolls[[#This Row],[Wins]]/mlb_payrolls[[#This Row],[Games]], "")</f>
        <v>0.42592592592592593</v>
      </c>
    </row>
    <row r="97" spans="1:4" x14ac:dyDescent="0.3">
      <c r="A97" t="s">
        <v>42</v>
      </c>
      <c r="B97">
        <v>2016</v>
      </c>
      <c r="C97" s="1">
        <v>83435559</v>
      </c>
      <c r="D97" s="2">
        <f>IF(mlb_payrolls[[#This Row],[Games]] &gt;0, mlb_payrolls[[#This Row],[Wins]]/mlb_payrolls[[#This Row],[Games]], "")</f>
        <v>0.41975308641975306</v>
      </c>
    </row>
    <row r="98" spans="1:4" x14ac:dyDescent="0.3">
      <c r="A98" t="s">
        <v>20</v>
      </c>
      <c r="B98">
        <v>2021</v>
      </c>
      <c r="C98" s="1">
        <v>83698945</v>
      </c>
      <c r="D98" s="2">
        <f>IF(mlb_payrolls[[#This Row],[Games]] &gt;0, mlb_payrolls[[#This Row],[Wins]]/mlb_payrolls[[#This Row],[Games]], "")</f>
        <v>0.47530864197530864</v>
      </c>
    </row>
    <row r="99" spans="1:4" x14ac:dyDescent="0.3">
      <c r="A99" t="s">
        <v>40</v>
      </c>
      <c r="B99">
        <v>2021</v>
      </c>
      <c r="C99" s="1">
        <v>83822113</v>
      </c>
      <c r="D99" s="2">
        <f>IF(mlb_payrolls[[#This Row],[Games]] &gt;0, mlb_payrolls[[#This Row],[Wins]]/mlb_payrolls[[#This Row],[Games]], "")</f>
        <v>0.55555555555555558</v>
      </c>
    </row>
    <row r="100" spans="1:4" x14ac:dyDescent="0.3">
      <c r="A100" t="s">
        <v>16</v>
      </c>
      <c r="B100">
        <v>2024</v>
      </c>
      <c r="C100" s="1">
        <v>84050989</v>
      </c>
      <c r="D100" s="2">
        <f>IF(mlb_payrolls[[#This Row],[Games]] &gt;0, mlb_payrolls[[#This Row],[Wins]]/mlb_payrolls[[#This Row],[Games]], "")</f>
        <v>0.46913580246913578</v>
      </c>
    </row>
    <row r="101" spans="1:4" x14ac:dyDescent="0.3">
      <c r="A101" t="s">
        <v>48</v>
      </c>
      <c r="B101">
        <v>2020</v>
      </c>
      <c r="C101" s="1">
        <v>84210390</v>
      </c>
      <c r="D101" s="2">
        <f>IF(mlb_payrolls[[#This Row],[Games]] &gt;0, mlb_payrolls[[#This Row],[Wins]]/mlb_payrolls[[#This Row],[Games]], "")</f>
        <v>0.4</v>
      </c>
    </row>
    <row r="102" spans="1:4" x14ac:dyDescent="0.3">
      <c r="A102" t="s">
        <v>40</v>
      </c>
      <c r="B102">
        <v>2012</v>
      </c>
      <c r="C102" s="1">
        <v>84289928</v>
      </c>
      <c r="D102" s="2">
        <f>IF(mlb_payrolls[[#This Row],[Games]] &gt;0, mlb_payrolls[[#This Row],[Wins]]/mlb_payrolls[[#This Row],[Games]], "")</f>
        <v>0.46296296296296297</v>
      </c>
    </row>
    <row r="103" spans="1:4" x14ac:dyDescent="0.3">
      <c r="A103" t="s">
        <v>32</v>
      </c>
      <c r="B103">
        <v>2013</v>
      </c>
      <c r="C103" s="1">
        <v>84398434</v>
      </c>
      <c r="D103" s="2">
        <f>IF(mlb_payrolls[[#This Row],[Games]] &gt;0, mlb_payrolls[[#This Row],[Wins]]/mlb_payrolls[[#This Row],[Games]], "")</f>
        <v>0.53086419753086422</v>
      </c>
    </row>
    <row r="104" spans="1:4" x14ac:dyDescent="0.3">
      <c r="A104" t="s">
        <v>23</v>
      </c>
      <c r="B104">
        <v>2014</v>
      </c>
      <c r="C104" s="1">
        <v>84481929</v>
      </c>
      <c r="D104" s="2">
        <f>IF(mlb_payrolls[[#This Row],[Games]] &gt;0, mlb_payrolls[[#This Row],[Wins]]/mlb_payrolls[[#This Row],[Games]], "")</f>
        <v>0.52469135802469136</v>
      </c>
    </row>
    <row r="105" spans="1:4" x14ac:dyDescent="0.3">
      <c r="A105" t="s">
        <v>66</v>
      </c>
      <c r="B105">
        <v>2011</v>
      </c>
      <c r="C105" s="1">
        <v>84598388</v>
      </c>
      <c r="D105" s="2">
        <f>IF(mlb_payrolls[[#This Row],[Games]] &gt;0, mlb_payrolls[[#This Row],[Wins]]/mlb_payrolls[[#This Row],[Games]], "")</f>
        <v>0.34567901234567899</v>
      </c>
    </row>
    <row r="106" spans="1:4" x14ac:dyDescent="0.3">
      <c r="A106" t="s">
        <v>42</v>
      </c>
      <c r="B106">
        <v>2014</v>
      </c>
      <c r="C106" s="1">
        <v>85001967</v>
      </c>
      <c r="D106" s="2">
        <f>IF(mlb_payrolls[[#This Row],[Games]] &gt;0, mlb_payrolls[[#This Row],[Wins]]/mlb_payrolls[[#This Row],[Games]], "")</f>
        <v>0.47530864197530864</v>
      </c>
    </row>
    <row r="107" spans="1:4" x14ac:dyDescent="0.3">
      <c r="A107" t="s">
        <v>44</v>
      </c>
      <c r="B107">
        <v>2022</v>
      </c>
      <c r="C107" s="1">
        <v>85293905</v>
      </c>
      <c r="D107" s="2">
        <f>IF(mlb_payrolls[[#This Row],[Games]] &gt;0, mlb_payrolls[[#This Row],[Wins]]/mlb_payrolls[[#This Row],[Games]], "")</f>
        <v>0.4567901234567901</v>
      </c>
    </row>
    <row r="108" spans="1:4" x14ac:dyDescent="0.3">
      <c r="A108" t="s">
        <v>70</v>
      </c>
      <c r="B108">
        <v>2017</v>
      </c>
      <c r="C108" s="1">
        <v>85495238</v>
      </c>
      <c r="D108" s="2">
        <f>IF(mlb_payrolls[[#This Row],[Games]] &gt;0, mlb_payrolls[[#This Row],[Wins]]/mlb_payrolls[[#This Row],[Games]], "")</f>
        <v>0.41358024691358025</v>
      </c>
    </row>
    <row r="109" spans="1:4" x14ac:dyDescent="0.3">
      <c r="A109" t="s">
        <v>62</v>
      </c>
      <c r="B109">
        <v>2020</v>
      </c>
      <c r="C109" s="1">
        <v>86012838</v>
      </c>
      <c r="D109" s="2">
        <f>IF(mlb_payrolls[[#This Row],[Games]] &gt;0, mlb_payrolls[[#This Row],[Wins]]/mlb_payrolls[[#This Row],[Games]], "")</f>
        <v>0.56666666666666665</v>
      </c>
    </row>
    <row r="110" spans="1:4" x14ac:dyDescent="0.3">
      <c r="A110" t="s">
        <v>30</v>
      </c>
      <c r="B110">
        <v>2016</v>
      </c>
      <c r="C110" s="1">
        <v>87226437</v>
      </c>
      <c r="D110" s="2">
        <f>IF(mlb_payrolls[[#This Row],[Games]] &gt;0, mlb_payrolls[[#This Row],[Wins]]/mlb_payrolls[[#This Row],[Games]], "")</f>
        <v>0.41975308641975306</v>
      </c>
    </row>
    <row r="111" spans="1:4" x14ac:dyDescent="0.3">
      <c r="A111" t="s">
        <v>50</v>
      </c>
      <c r="B111">
        <v>2012</v>
      </c>
      <c r="C111" s="1">
        <v>87232529</v>
      </c>
      <c r="D111" s="2">
        <f>IF(mlb_payrolls[[#This Row],[Games]] &gt;0, mlb_payrolls[[#This Row],[Wins]]/mlb_payrolls[[#This Row],[Games]], "")</f>
        <v>0.39506172839506171</v>
      </c>
    </row>
    <row r="112" spans="1:4" x14ac:dyDescent="0.3">
      <c r="A112" t="s">
        <v>38</v>
      </c>
      <c r="B112">
        <v>2014</v>
      </c>
      <c r="C112" s="1">
        <v>87494478</v>
      </c>
      <c r="D112" s="2">
        <f>IF(mlb_payrolls[[#This Row],[Games]] &gt;0, mlb_payrolls[[#This Row],[Wins]]/mlb_payrolls[[#This Row],[Games]], "")</f>
        <v>0.43209876543209874</v>
      </c>
    </row>
    <row r="113" spans="1:4" x14ac:dyDescent="0.3">
      <c r="A113" t="s">
        <v>28</v>
      </c>
      <c r="B113">
        <v>2013</v>
      </c>
      <c r="C113" s="1">
        <v>88221045</v>
      </c>
      <c r="D113" s="2">
        <f>IF(mlb_payrolls[[#This Row],[Games]] &gt;0, mlb_payrolls[[#This Row],[Wins]]/mlb_payrolls[[#This Row],[Games]], "")</f>
        <v>0.4567901234567901</v>
      </c>
    </row>
    <row r="114" spans="1:4" x14ac:dyDescent="0.3">
      <c r="A114" t="s">
        <v>44</v>
      </c>
      <c r="B114">
        <v>2013</v>
      </c>
      <c r="C114" s="1">
        <v>88316478</v>
      </c>
      <c r="D114" s="2">
        <f>IF(mlb_payrolls[[#This Row],[Games]] &gt;0, mlb_payrolls[[#This Row],[Wins]]/mlb_payrolls[[#This Row],[Games]], "")</f>
        <v>0.5</v>
      </c>
    </row>
    <row r="115" spans="1:4" x14ac:dyDescent="0.3">
      <c r="A115" t="s">
        <v>36</v>
      </c>
      <c r="B115">
        <v>2022</v>
      </c>
      <c r="C115" s="1">
        <v>88454422</v>
      </c>
      <c r="D115" s="2">
        <f>IF(mlb_payrolls[[#This Row],[Games]] &gt;0, mlb_payrolls[[#This Row],[Wins]]/mlb_payrolls[[#This Row],[Games]], "")</f>
        <v>0.42592592592592593</v>
      </c>
    </row>
    <row r="116" spans="1:4" x14ac:dyDescent="0.3">
      <c r="A116" t="s">
        <v>23</v>
      </c>
      <c r="B116">
        <v>2023</v>
      </c>
      <c r="C116" s="1">
        <v>88911627</v>
      </c>
      <c r="D116" s="2">
        <f>IF(mlb_payrolls[[#This Row],[Games]] &gt;0, mlb_payrolls[[#This Row],[Wins]]/mlb_payrolls[[#This Row],[Games]], "")</f>
        <v>0.46913580246913578</v>
      </c>
    </row>
    <row r="117" spans="1:4" x14ac:dyDescent="0.3">
      <c r="A117" t="s">
        <v>70</v>
      </c>
      <c r="B117">
        <v>2014</v>
      </c>
      <c r="C117" s="1">
        <v>89297302</v>
      </c>
      <c r="D117" s="2">
        <f>IF(mlb_payrolls[[#This Row],[Games]] &gt;0, mlb_payrolls[[#This Row],[Wins]]/mlb_payrolls[[#This Row],[Games]], "")</f>
        <v>0.45061728395061729</v>
      </c>
    </row>
    <row r="118" spans="1:4" x14ac:dyDescent="0.3">
      <c r="A118" t="s">
        <v>18</v>
      </c>
      <c r="B118">
        <v>2024</v>
      </c>
      <c r="C118" s="1">
        <v>89707422</v>
      </c>
      <c r="D118" s="2">
        <f>IF(mlb_payrolls[[#This Row],[Games]] &gt;0, mlb_payrolls[[#This Row],[Wins]]/mlb_payrolls[[#This Row],[Games]], "")</f>
        <v>0.49382716049382713</v>
      </c>
    </row>
    <row r="119" spans="1:4" x14ac:dyDescent="0.3">
      <c r="A119" t="s">
        <v>13</v>
      </c>
      <c r="B119">
        <v>2021</v>
      </c>
      <c r="C119" s="1">
        <v>89767668</v>
      </c>
      <c r="D119" s="2">
        <f>IF(mlb_payrolls[[#This Row],[Games]] &gt;0, mlb_payrolls[[#This Row],[Wins]]/mlb_payrolls[[#This Row],[Games]], "")</f>
        <v>0.53086419753086422</v>
      </c>
    </row>
    <row r="120" spans="1:4" x14ac:dyDescent="0.3">
      <c r="A120" t="s">
        <v>30</v>
      </c>
      <c r="B120">
        <v>2012</v>
      </c>
      <c r="C120" s="1">
        <v>89901498</v>
      </c>
      <c r="D120" s="2">
        <f>IF(mlb_payrolls[[#This Row],[Games]] &gt;0, mlb_payrolls[[#This Row],[Wins]]/mlb_payrolls[[#This Row],[Games]], "")</f>
        <v>0.59876543209876543</v>
      </c>
    </row>
    <row r="121" spans="1:4" x14ac:dyDescent="0.3">
      <c r="A121" t="s">
        <v>62</v>
      </c>
      <c r="B121">
        <v>2014</v>
      </c>
      <c r="C121" s="1">
        <v>90364741</v>
      </c>
      <c r="D121" s="2">
        <f>IF(mlb_payrolls[[#This Row],[Games]] &gt;0, mlb_payrolls[[#This Row],[Wins]]/mlb_payrolls[[#This Row],[Games]], "")</f>
        <v>0.45061728395061729</v>
      </c>
    </row>
    <row r="122" spans="1:4" x14ac:dyDescent="0.3">
      <c r="A122" t="s">
        <v>16</v>
      </c>
      <c r="B122">
        <v>2018</v>
      </c>
      <c r="C122" s="1">
        <v>91025861</v>
      </c>
      <c r="D122" s="2">
        <f>IF(mlb_payrolls[[#This Row],[Games]] &gt;0, mlb_payrolls[[#This Row],[Wins]]/mlb_payrolls[[#This Row],[Games]], "")</f>
        <v>0.50931677018633537</v>
      </c>
    </row>
    <row r="123" spans="1:4" x14ac:dyDescent="0.3">
      <c r="A123" t="s">
        <v>70</v>
      </c>
      <c r="B123">
        <v>2019</v>
      </c>
      <c r="C123" s="1">
        <v>91371201</v>
      </c>
      <c r="D123" s="2">
        <f>IF(mlb_payrolls[[#This Row],[Games]] &gt;0, mlb_payrolls[[#This Row],[Wins]]/mlb_payrolls[[#This Row],[Games]], "")</f>
        <v>0.44720496894409939</v>
      </c>
    </row>
    <row r="124" spans="1:4" x14ac:dyDescent="0.3">
      <c r="A124" t="s">
        <v>32</v>
      </c>
      <c r="B124">
        <v>2021</v>
      </c>
      <c r="C124" s="1">
        <v>91595545</v>
      </c>
      <c r="D124" s="2">
        <f>IF(mlb_payrolls[[#This Row],[Games]] &gt;0, mlb_payrolls[[#This Row],[Wins]]/mlb_payrolls[[#This Row],[Games]], "")</f>
        <v>0.4567901234567901</v>
      </c>
    </row>
    <row r="125" spans="1:4" x14ac:dyDescent="0.3">
      <c r="A125" t="s">
        <v>44</v>
      </c>
      <c r="B125">
        <v>2021</v>
      </c>
      <c r="C125" s="1">
        <v>91632929</v>
      </c>
      <c r="D125" s="2">
        <f>IF(mlb_payrolls[[#This Row],[Games]] &gt;0, mlb_payrolls[[#This Row],[Wins]]/mlb_payrolls[[#This Row],[Games]], "")</f>
        <v>0.32098765432098764</v>
      </c>
    </row>
    <row r="126" spans="1:4" x14ac:dyDescent="0.3">
      <c r="A126" t="s">
        <v>13</v>
      </c>
      <c r="B126">
        <v>2014</v>
      </c>
      <c r="C126" s="1">
        <v>91638412</v>
      </c>
      <c r="D126" s="2">
        <f>IF(mlb_payrolls[[#This Row],[Games]] &gt;0, mlb_payrolls[[#This Row],[Wins]]/mlb_payrolls[[#This Row],[Games]], "")</f>
        <v>0.54320987654320985</v>
      </c>
    </row>
    <row r="127" spans="1:4" x14ac:dyDescent="0.3">
      <c r="A127" t="s">
        <v>36</v>
      </c>
      <c r="B127">
        <v>2018</v>
      </c>
      <c r="C127" s="1">
        <v>91665500</v>
      </c>
      <c r="D127" s="2">
        <f>IF(mlb_payrolls[[#This Row],[Games]] &gt;0, mlb_payrolls[[#This Row],[Wins]]/mlb_payrolls[[#This Row],[Games]], "")</f>
        <v>0.39130434782608697</v>
      </c>
    </row>
    <row r="128" spans="1:4" x14ac:dyDescent="0.3">
      <c r="A128" t="s">
        <v>26</v>
      </c>
      <c r="B128">
        <v>2011</v>
      </c>
      <c r="C128" s="1">
        <v>91751399</v>
      </c>
      <c r="D128" s="2">
        <f>IF(mlb_payrolls[[#This Row],[Games]] &gt;0, mlb_payrolls[[#This Row],[Wins]]/mlb_payrolls[[#This Row],[Games]], "")</f>
        <v>0.42592592592592593</v>
      </c>
    </row>
    <row r="129" spans="1:4" x14ac:dyDescent="0.3">
      <c r="A129" t="s">
        <v>28</v>
      </c>
      <c r="B129">
        <v>2011</v>
      </c>
      <c r="C129" s="1">
        <v>92277138</v>
      </c>
      <c r="D129" s="2">
        <f>IF(mlb_payrolls[[#This Row],[Games]] &gt;0, mlb_payrolls[[#This Row],[Wins]]/mlb_payrolls[[#This Row],[Games]], "")</f>
        <v>0.59259259259259256</v>
      </c>
    </row>
    <row r="130" spans="1:4" x14ac:dyDescent="0.3">
      <c r="A130" t="s">
        <v>32</v>
      </c>
      <c r="B130">
        <v>2022</v>
      </c>
      <c r="C130" s="1">
        <v>92613711</v>
      </c>
      <c r="D130" s="2">
        <f>IF(mlb_payrolls[[#This Row],[Games]] &gt;0, mlb_payrolls[[#This Row],[Wins]]/mlb_payrolls[[#This Row],[Games]], "")</f>
        <v>0.40123456790123457</v>
      </c>
    </row>
    <row r="131" spans="1:4" x14ac:dyDescent="0.3">
      <c r="A131" t="s">
        <v>23</v>
      </c>
      <c r="B131">
        <v>2013</v>
      </c>
      <c r="C131" s="1">
        <v>93008897</v>
      </c>
      <c r="D131" s="2">
        <f>IF(mlb_payrolls[[#This Row],[Games]] &gt;0, mlb_payrolls[[#This Row],[Wins]]/mlb_payrolls[[#This Row],[Games]], "")</f>
        <v>0.5679012345679012</v>
      </c>
    </row>
    <row r="132" spans="1:4" x14ac:dyDescent="0.3">
      <c r="A132" t="s">
        <v>34</v>
      </c>
      <c r="B132">
        <v>2023</v>
      </c>
      <c r="C132" s="1">
        <v>93378663</v>
      </c>
      <c r="D132" s="2">
        <f>IF(mlb_payrolls[[#This Row],[Games]] &gt;0, mlb_payrolls[[#This Row],[Wins]]/mlb_payrolls[[#This Row],[Games]], "")</f>
        <v>0.43827160493827161</v>
      </c>
    </row>
    <row r="133" spans="1:4" x14ac:dyDescent="0.3">
      <c r="A133" t="s">
        <v>28</v>
      </c>
      <c r="B133">
        <v>2015</v>
      </c>
      <c r="C133" s="1">
        <v>93852267</v>
      </c>
      <c r="D133" s="2">
        <f>IF(mlb_payrolls[[#This Row],[Games]] &gt;0, mlb_payrolls[[#This Row],[Wins]]/mlb_payrolls[[#This Row],[Games]], "")</f>
        <v>0.41975308641975306</v>
      </c>
    </row>
    <row r="134" spans="1:4" x14ac:dyDescent="0.3">
      <c r="A134" t="s">
        <v>74</v>
      </c>
      <c r="B134">
        <v>2014</v>
      </c>
      <c r="C134" s="1">
        <v>94478037</v>
      </c>
      <c r="D134" s="2">
        <f>IF(mlb_payrolls[[#This Row],[Games]] &gt;0, mlb_payrolls[[#This Row],[Wins]]/mlb_payrolls[[#This Row],[Games]], "")</f>
        <v>0.48765432098765432</v>
      </c>
    </row>
    <row r="135" spans="1:4" x14ac:dyDescent="0.3">
      <c r="A135" t="s">
        <v>58</v>
      </c>
      <c r="B135">
        <v>2013</v>
      </c>
      <c r="C135" s="1">
        <v>94947950</v>
      </c>
      <c r="D135" s="2">
        <f>IF(mlb_payrolls[[#This Row],[Games]] &gt;0, mlb_payrolls[[#This Row],[Wins]]/mlb_payrolls[[#This Row],[Games]], "")</f>
        <v>0.59259259259259256</v>
      </c>
    </row>
    <row r="136" spans="1:4" x14ac:dyDescent="0.3">
      <c r="A136" t="s">
        <v>68</v>
      </c>
      <c r="B136">
        <v>2012</v>
      </c>
      <c r="C136" s="1">
        <v>95551627</v>
      </c>
      <c r="D136" s="2">
        <f>IF(mlb_payrolls[[#This Row],[Games]] &gt;0, mlb_payrolls[[#This Row],[Wins]]/mlb_payrolls[[#This Row],[Games]], "")</f>
        <v>0.45061728395061729</v>
      </c>
    </row>
    <row r="137" spans="1:4" x14ac:dyDescent="0.3">
      <c r="A137" t="s">
        <v>30</v>
      </c>
      <c r="B137">
        <v>2023</v>
      </c>
      <c r="C137" s="1">
        <v>95573417</v>
      </c>
      <c r="D137" s="2">
        <f>IF(mlb_payrolls[[#This Row],[Games]] &gt;0, mlb_payrolls[[#This Row],[Wins]]/mlb_payrolls[[#This Row],[Games]], "")</f>
        <v>0.50617283950617287</v>
      </c>
    </row>
    <row r="138" spans="1:4" x14ac:dyDescent="0.3">
      <c r="A138" t="s">
        <v>32</v>
      </c>
      <c r="B138">
        <v>2023</v>
      </c>
      <c r="C138" s="1">
        <v>95596347</v>
      </c>
      <c r="D138" s="2">
        <f>IF(mlb_payrolls[[#This Row],[Games]] &gt;0, mlb_payrolls[[#This Row],[Wins]]/mlb_payrolls[[#This Row],[Games]], "")</f>
        <v>0.34567901234567899</v>
      </c>
    </row>
    <row r="139" spans="1:4" x14ac:dyDescent="0.3">
      <c r="A139" t="s">
        <v>64</v>
      </c>
      <c r="B139">
        <v>2021</v>
      </c>
      <c r="C139" s="1">
        <v>95788819</v>
      </c>
      <c r="D139" s="2">
        <f>IF(mlb_payrolls[[#This Row],[Games]] &gt;0, mlb_payrolls[[#This Row],[Wins]]/mlb_payrolls[[#This Row],[Games]], "")</f>
        <v>0.37037037037037035</v>
      </c>
    </row>
    <row r="140" spans="1:4" x14ac:dyDescent="0.3">
      <c r="A140" t="s">
        <v>58</v>
      </c>
      <c r="B140">
        <v>2016</v>
      </c>
      <c r="C140" s="1">
        <v>96019377</v>
      </c>
      <c r="D140" s="2">
        <f>IF(mlb_payrolls[[#This Row],[Games]] &gt;0, mlb_payrolls[[#This Row],[Wins]]/mlb_payrolls[[#This Row],[Games]], "")</f>
        <v>0.42236024844720499</v>
      </c>
    </row>
    <row r="141" spans="1:4" x14ac:dyDescent="0.3">
      <c r="A141" t="s">
        <v>30</v>
      </c>
      <c r="B141">
        <v>2017</v>
      </c>
      <c r="C141" s="1">
        <v>96436003</v>
      </c>
      <c r="D141" s="2">
        <f>IF(mlb_payrolls[[#This Row],[Games]] &gt;0, mlb_payrolls[[#This Row],[Wins]]/mlb_payrolls[[#This Row],[Games]], "")</f>
        <v>0.41975308641975306</v>
      </c>
    </row>
    <row r="142" spans="1:4" x14ac:dyDescent="0.3">
      <c r="A142" t="s">
        <v>36</v>
      </c>
      <c r="B142">
        <v>2024</v>
      </c>
      <c r="C142" s="1">
        <v>96590305</v>
      </c>
      <c r="D142" s="2">
        <f>IF(mlb_payrolls[[#This Row],[Games]] &gt;0, mlb_payrolls[[#This Row],[Wins]]/mlb_payrolls[[#This Row],[Games]], "")</f>
        <v>0.38271604938271603</v>
      </c>
    </row>
    <row r="143" spans="1:4" x14ac:dyDescent="0.3">
      <c r="A143" t="s">
        <v>32</v>
      </c>
      <c r="B143">
        <v>2014</v>
      </c>
      <c r="C143" s="1">
        <v>96603300</v>
      </c>
      <c r="D143" s="2">
        <f>IF(mlb_payrolls[[#This Row],[Games]] &gt;0, mlb_payrolls[[#This Row],[Wins]]/mlb_payrolls[[#This Row],[Games]], "")</f>
        <v>0.54938271604938271</v>
      </c>
    </row>
    <row r="144" spans="1:4" x14ac:dyDescent="0.3">
      <c r="A144" t="s">
        <v>50</v>
      </c>
      <c r="B144">
        <v>2014</v>
      </c>
      <c r="C144" s="1">
        <v>96772365</v>
      </c>
      <c r="D144" s="2">
        <f>IF(mlb_payrolls[[#This Row],[Games]] &gt;0, mlb_payrolls[[#This Row],[Wins]]/mlb_payrolls[[#This Row],[Games]], "")</f>
        <v>0.40740740740740738</v>
      </c>
    </row>
    <row r="145" spans="1:4" x14ac:dyDescent="0.3">
      <c r="A145" t="s">
        <v>20</v>
      </c>
      <c r="B145">
        <v>2024</v>
      </c>
      <c r="C145" s="1">
        <v>96961614</v>
      </c>
      <c r="D145" s="2">
        <f>IF(mlb_payrolls[[#This Row],[Games]] &gt;0, mlb_payrolls[[#This Row],[Wins]]/mlb_payrolls[[#This Row],[Games]], "")</f>
        <v>0.53086419753086422</v>
      </c>
    </row>
    <row r="146" spans="1:4" x14ac:dyDescent="0.3">
      <c r="A146" t="s">
        <v>18</v>
      </c>
      <c r="B146">
        <v>2022</v>
      </c>
      <c r="C146" s="1">
        <v>97167073</v>
      </c>
      <c r="D146" s="2">
        <f>IF(mlb_payrolls[[#This Row],[Games]] &gt;0, mlb_payrolls[[#This Row],[Wins]]/mlb_payrolls[[#This Row],[Games]], "")</f>
        <v>0.53086419753086422</v>
      </c>
    </row>
    <row r="147" spans="1:4" x14ac:dyDescent="0.3">
      <c r="A147" t="s">
        <v>38</v>
      </c>
      <c r="B147">
        <v>2016</v>
      </c>
      <c r="C147" s="1">
        <v>97244457</v>
      </c>
      <c r="D147" s="2">
        <f>IF(mlb_payrolls[[#This Row],[Games]] &gt;0, mlb_payrolls[[#This Row],[Wins]]/mlb_payrolls[[#This Row],[Games]], "")</f>
        <v>0.36419753086419754</v>
      </c>
    </row>
    <row r="148" spans="1:4" x14ac:dyDescent="0.3">
      <c r="A148" t="s">
        <v>44</v>
      </c>
      <c r="B148">
        <v>2016</v>
      </c>
      <c r="C148" s="1">
        <v>97874482</v>
      </c>
      <c r="D148" s="2">
        <f>IF(mlb_payrolls[[#This Row],[Games]] &gt;0, mlb_payrolls[[#This Row],[Wins]]/mlb_payrolls[[#This Row],[Games]], "")</f>
        <v>0.42592592592592593</v>
      </c>
    </row>
    <row r="149" spans="1:4" x14ac:dyDescent="0.3">
      <c r="A149" t="s">
        <v>58</v>
      </c>
      <c r="B149">
        <v>2012</v>
      </c>
      <c r="C149" s="1">
        <v>97928056</v>
      </c>
      <c r="D149" s="2">
        <f>IF(mlb_payrolls[[#This Row],[Games]] &gt;0, mlb_payrolls[[#This Row],[Wins]]/mlb_payrolls[[#This Row],[Games]], "")</f>
        <v>0.58024691358024694</v>
      </c>
    </row>
    <row r="150" spans="1:4" x14ac:dyDescent="0.3">
      <c r="A150" t="s">
        <v>34</v>
      </c>
      <c r="B150">
        <v>2012</v>
      </c>
      <c r="C150" s="1">
        <v>98044359</v>
      </c>
      <c r="D150" s="2">
        <f>IF(mlb_payrolls[[#This Row],[Games]] &gt;0, mlb_payrolls[[#This Row],[Wins]]/mlb_payrolls[[#This Row],[Games]], "")</f>
        <v>0.60493827160493829</v>
      </c>
    </row>
    <row r="151" spans="1:4" x14ac:dyDescent="0.3">
      <c r="A151" t="s">
        <v>36</v>
      </c>
      <c r="B151">
        <v>2012</v>
      </c>
      <c r="C151" s="1">
        <v>98120191</v>
      </c>
      <c r="D151" s="2">
        <f>IF(mlb_payrolls[[#This Row],[Games]] &gt;0, mlb_payrolls[[#This Row],[Wins]]/mlb_payrolls[[#This Row],[Games]], "")</f>
        <v>0.42592592592592593</v>
      </c>
    </row>
    <row r="152" spans="1:4" x14ac:dyDescent="0.3">
      <c r="A152" t="s">
        <v>13</v>
      </c>
      <c r="B152">
        <v>2019</v>
      </c>
      <c r="C152" s="1">
        <v>98644531</v>
      </c>
      <c r="D152" s="2">
        <f>IF(mlb_payrolls[[#This Row],[Games]] &gt;0, mlb_payrolls[[#This Row],[Wins]]/mlb_payrolls[[#This Row],[Games]], "")</f>
        <v>0.59876543209876543</v>
      </c>
    </row>
    <row r="153" spans="1:4" x14ac:dyDescent="0.3">
      <c r="A153" t="s">
        <v>58</v>
      </c>
      <c r="B153">
        <v>2011</v>
      </c>
      <c r="C153" s="1">
        <v>98696230</v>
      </c>
      <c r="D153" s="2">
        <f>IF(mlb_payrolls[[#This Row],[Games]] &gt;0, mlb_payrolls[[#This Row],[Wins]]/mlb_payrolls[[#This Row],[Games]], "")</f>
        <v>0.54938271604938271</v>
      </c>
    </row>
    <row r="154" spans="1:4" x14ac:dyDescent="0.3">
      <c r="A154" t="s">
        <v>28</v>
      </c>
      <c r="B154">
        <v>2021</v>
      </c>
      <c r="C154" s="1">
        <v>99377415</v>
      </c>
      <c r="D154" s="2">
        <f>IF(mlb_payrolls[[#This Row],[Games]] &gt;0, mlb_payrolls[[#This Row],[Wins]]/mlb_payrolls[[#This Row],[Games]], "")</f>
        <v>0.5864197530864198</v>
      </c>
    </row>
    <row r="155" spans="1:4" x14ac:dyDescent="0.3">
      <c r="A155" t="s">
        <v>16</v>
      </c>
      <c r="B155">
        <v>2015</v>
      </c>
      <c r="C155" s="1">
        <v>99435606</v>
      </c>
      <c r="D155" s="2">
        <f>IF(mlb_payrolls[[#This Row],[Games]] &gt;0, mlb_payrolls[[#This Row],[Wins]]/mlb_payrolls[[#This Row],[Games]], "")</f>
        <v>0.60493827160493829</v>
      </c>
    </row>
    <row r="156" spans="1:4" x14ac:dyDescent="0.3">
      <c r="A156" t="s">
        <v>16</v>
      </c>
      <c r="B156">
        <v>2016</v>
      </c>
      <c r="C156" s="1">
        <v>99518136</v>
      </c>
      <c r="D156" s="2">
        <f>IF(mlb_payrolls[[#This Row],[Games]] &gt;0, mlb_payrolls[[#This Row],[Wins]]/mlb_payrolls[[#This Row],[Games]], "")</f>
        <v>0.48447204968944102</v>
      </c>
    </row>
    <row r="157" spans="1:4" x14ac:dyDescent="0.3">
      <c r="A157" t="s">
        <v>66</v>
      </c>
      <c r="B157">
        <v>2016</v>
      </c>
      <c r="C157" s="1">
        <v>99828742</v>
      </c>
      <c r="D157" s="2">
        <f>IF(mlb_payrolls[[#This Row],[Games]] &gt;0, mlb_payrolls[[#This Row],[Wins]]/mlb_payrolls[[#This Row],[Games]], "")</f>
        <v>0.51851851851851849</v>
      </c>
    </row>
    <row r="158" spans="1:4" x14ac:dyDescent="0.3">
      <c r="A158" t="s">
        <v>30</v>
      </c>
      <c r="B158">
        <v>2024</v>
      </c>
      <c r="C158" s="1">
        <v>100254855</v>
      </c>
      <c r="D158" s="2">
        <f>IF(mlb_payrolls[[#This Row],[Games]] &gt;0, mlb_payrolls[[#This Row],[Wins]]/mlb_payrolls[[#This Row],[Games]], "")</f>
        <v>0.47530864197530864</v>
      </c>
    </row>
    <row r="159" spans="1:4" x14ac:dyDescent="0.3">
      <c r="A159" t="s">
        <v>30</v>
      </c>
      <c r="B159">
        <v>2018</v>
      </c>
      <c r="C159" s="1">
        <v>100305768</v>
      </c>
      <c r="D159" s="2">
        <f>IF(mlb_payrolls[[#This Row],[Games]] &gt;0, mlb_payrolls[[#This Row],[Wins]]/mlb_payrolls[[#This Row],[Games]], "")</f>
        <v>0.41358024691358025</v>
      </c>
    </row>
    <row r="160" spans="1:4" x14ac:dyDescent="0.3">
      <c r="A160" t="s">
        <v>26</v>
      </c>
      <c r="B160">
        <v>2013</v>
      </c>
      <c r="C160" s="1">
        <v>100430869</v>
      </c>
      <c r="D160" s="2">
        <f>IF(mlb_payrolls[[#This Row],[Games]] &gt;0, mlb_payrolls[[#This Row],[Wins]]/mlb_payrolls[[#This Row],[Games]], "")</f>
        <v>0.52469135802469136</v>
      </c>
    </row>
    <row r="161" spans="1:4" x14ac:dyDescent="0.3">
      <c r="A161" t="s">
        <v>16</v>
      </c>
      <c r="B161">
        <v>2017</v>
      </c>
      <c r="C161" s="1">
        <v>100503030</v>
      </c>
      <c r="D161" s="2">
        <f>IF(mlb_payrolls[[#This Row],[Games]] &gt;0, mlb_payrolls[[#This Row],[Wins]]/mlb_payrolls[[#This Row],[Games]], "")</f>
        <v>0.46296296296296297</v>
      </c>
    </row>
    <row r="162" spans="1:4" x14ac:dyDescent="0.3">
      <c r="A162" t="s">
        <v>40</v>
      </c>
      <c r="B162">
        <v>2011</v>
      </c>
      <c r="C162" s="1">
        <v>100829148</v>
      </c>
      <c r="D162" s="2">
        <f>IF(mlb_payrolls[[#This Row],[Games]] &gt;0, mlb_payrolls[[#This Row],[Wins]]/mlb_payrolls[[#This Row],[Games]], "")</f>
        <v>0.41358024691358025</v>
      </c>
    </row>
    <row r="163" spans="1:4" x14ac:dyDescent="0.3">
      <c r="A163" t="s">
        <v>50</v>
      </c>
      <c r="B163">
        <v>2015</v>
      </c>
      <c r="C163" s="1">
        <v>101277051</v>
      </c>
      <c r="D163" s="2">
        <f>IF(mlb_payrolls[[#This Row],[Games]] &gt;0, mlb_payrolls[[#This Row],[Wins]]/mlb_payrolls[[#This Row],[Games]], "")</f>
        <v>0.41975308641975306</v>
      </c>
    </row>
    <row r="164" spans="1:4" x14ac:dyDescent="0.3">
      <c r="A164" t="s">
        <v>74</v>
      </c>
      <c r="B164">
        <v>2013</v>
      </c>
      <c r="C164" s="1">
        <v>101300814</v>
      </c>
      <c r="D164" s="2">
        <f>IF(mlb_payrolls[[#This Row],[Games]] &gt;0, mlb_payrolls[[#This Row],[Wins]]/mlb_payrolls[[#This Row],[Games]], "")</f>
        <v>0.4567901234567901</v>
      </c>
    </row>
    <row r="165" spans="1:4" x14ac:dyDescent="0.3">
      <c r="A165" t="s">
        <v>42</v>
      </c>
      <c r="B165">
        <v>2018</v>
      </c>
      <c r="C165" s="1">
        <v>101760815</v>
      </c>
      <c r="D165" s="2">
        <f>IF(mlb_payrolls[[#This Row],[Games]] &gt;0, mlb_payrolls[[#This Row],[Wins]]/mlb_payrolls[[#This Row],[Games]], "")</f>
        <v>0.40740740740740738</v>
      </c>
    </row>
    <row r="166" spans="1:4" x14ac:dyDescent="0.3">
      <c r="A166" t="s">
        <v>44</v>
      </c>
      <c r="B166">
        <v>2017</v>
      </c>
      <c r="C166" s="1">
        <v>102619475</v>
      </c>
      <c r="D166" s="2">
        <f>IF(mlb_payrolls[[#This Row],[Games]] &gt;0, mlb_payrolls[[#This Row],[Wins]]/mlb_payrolls[[#This Row],[Games]], "")</f>
        <v>0.57407407407407407</v>
      </c>
    </row>
    <row r="167" spans="1:4" x14ac:dyDescent="0.3">
      <c r="A167" t="s">
        <v>62</v>
      </c>
      <c r="B167">
        <v>2013</v>
      </c>
      <c r="C167" s="1">
        <v>103152899</v>
      </c>
      <c r="D167" s="2">
        <f>IF(mlb_payrolls[[#This Row],[Games]] &gt;0, mlb_payrolls[[#This Row],[Wins]]/mlb_payrolls[[#This Row],[Games]], "")</f>
        <v>0.40740740740740738</v>
      </c>
    </row>
    <row r="168" spans="1:4" x14ac:dyDescent="0.3">
      <c r="A168" t="s">
        <v>64</v>
      </c>
      <c r="B168">
        <v>2011</v>
      </c>
      <c r="C168" s="1">
        <v>103326721</v>
      </c>
      <c r="D168" s="2">
        <f>IF(mlb_payrolls[[#This Row],[Games]] &gt;0, mlb_payrolls[[#This Row],[Wins]]/mlb_payrolls[[#This Row],[Games]], "")</f>
        <v>0.59259259259259256</v>
      </c>
    </row>
    <row r="169" spans="1:4" x14ac:dyDescent="0.3">
      <c r="A169" t="s">
        <v>42</v>
      </c>
      <c r="B169">
        <v>2019</v>
      </c>
      <c r="C169" s="1">
        <v>103699790</v>
      </c>
      <c r="D169" s="2">
        <f>IF(mlb_payrolls[[#This Row],[Games]] &gt;0, mlb_payrolls[[#This Row],[Wins]]/mlb_payrolls[[#This Row],[Games]], "")</f>
        <v>0.43209876543209874</v>
      </c>
    </row>
    <row r="170" spans="1:4" x14ac:dyDescent="0.3">
      <c r="A170" t="s">
        <v>30</v>
      </c>
      <c r="B170">
        <v>2013</v>
      </c>
      <c r="C170" s="1">
        <v>103804640</v>
      </c>
      <c r="D170" s="2">
        <f>IF(mlb_payrolls[[#This Row],[Games]] &gt;0, mlb_payrolls[[#This Row],[Wins]]/mlb_payrolls[[#This Row],[Games]], "")</f>
        <v>0.55555555555555558</v>
      </c>
    </row>
    <row r="171" spans="1:4" x14ac:dyDescent="0.3">
      <c r="A171" t="s">
        <v>56</v>
      </c>
      <c r="B171">
        <v>2016</v>
      </c>
      <c r="C171" s="1">
        <v>103898809</v>
      </c>
      <c r="D171" s="2">
        <f>IF(mlb_payrolls[[#This Row],[Games]] &gt;0, mlb_payrolls[[#This Row],[Wins]]/mlb_payrolls[[#This Row],[Games]], "")</f>
        <v>0.43827160493827161</v>
      </c>
    </row>
    <row r="172" spans="1:4" x14ac:dyDescent="0.3">
      <c r="A172" t="s">
        <v>34</v>
      </c>
      <c r="B172">
        <v>2024</v>
      </c>
      <c r="C172" s="1">
        <v>103945407</v>
      </c>
      <c r="D172" s="2">
        <f>IF(mlb_payrolls[[#This Row],[Games]] &gt;0, mlb_payrolls[[#This Row],[Wins]]/mlb_payrolls[[#This Row],[Games]], "")</f>
        <v>0.43827160493827161</v>
      </c>
    </row>
    <row r="173" spans="1:4" x14ac:dyDescent="0.3">
      <c r="A173" t="s">
        <v>32</v>
      </c>
      <c r="B173">
        <v>2019</v>
      </c>
      <c r="C173" s="1">
        <v>103973003</v>
      </c>
      <c r="D173" s="2">
        <f>IF(mlb_payrolls[[#This Row],[Games]] &gt;0, mlb_payrolls[[#This Row],[Wins]]/mlb_payrolls[[#This Row],[Games]], "")</f>
        <v>0.36419753086419754</v>
      </c>
    </row>
    <row r="174" spans="1:4" x14ac:dyDescent="0.3">
      <c r="A174" t="s">
        <v>56</v>
      </c>
      <c r="B174">
        <v>2017</v>
      </c>
      <c r="C174" s="1">
        <v>104020808</v>
      </c>
      <c r="D174" s="2">
        <f>IF(mlb_payrolls[[#This Row],[Games]] &gt;0, mlb_payrolls[[#This Row],[Wins]]/mlb_payrolls[[#This Row],[Games]], "")</f>
        <v>0.40740740740740738</v>
      </c>
    </row>
    <row r="175" spans="1:4" x14ac:dyDescent="0.3">
      <c r="A175" t="s">
        <v>56</v>
      </c>
      <c r="B175">
        <v>2018</v>
      </c>
      <c r="C175" s="1">
        <v>104297471</v>
      </c>
      <c r="D175" s="2">
        <f>IF(mlb_payrolls[[#This Row],[Games]] &gt;0, mlb_payrolls[[#This Row],[Wins]]/mlb_payrolls[[#This Row],[Games]], "")</f>
        <v>0.49382716049382713</v>
      </c>
    </row>
    <row r="176" spans="1:4" x14ac:dyDescent="0.3">
      <c r="A176" t="s">
        <v>23</v>
      </c>
      <c r="B176">
        <v>2016</v>
      </c>
      <c r="C176" s="1">
        <v>104971268</v>
      </c>
      <c r="D176" s="2">
        <f>IF(mlb_payrolls[[#This Row],[Games]] &gt;0, mlb_payrolls[[#This Row],[Wins]]/mlb_payrolls[[#This Row],[Games]], "")</f>
        <v>0.58385093167701863</v>
      </c>
    </row>
    <row r="177" spans="1:4" x14ac:dyDescent="0.3">
      <c r="A177" t="s">
        <v>74</v>
      </c>
      <c r="B177">
        <v>2012</v>
      </c>
      <c r="C177" s="1">
        <v>104988166</v>
      </c>
      <c r="D177" s="2">
        <f>IF(mlb_payrolls[[#This Row],[Games]] &gt;0, mlb_payrolls[[#This Row],[Wins]]/mlb_payrolls[[#This Row],[Games]], "")</f>
        <v>0.4567901234567901</v>
      </c>
    </row>
    <row r="178" spans="1:4" x14ac:dyDescent="0.3">
      <c r="A178" t="s">
        <v>23</v>
      </c>
      <c r="B178">
        <v>2024</v>
      </c>
      <c r="C178" s="1">
        <v>105224582</v>
      </c>
      <c r="D178" s="2">
        <f>IF(mlb_payrolls[[#This Row],[Games]] &gt;0, mlb_payrolls[[#This Row],[Wins]]/mlb_payrolls[[#This Row],[Games]], "")</f>
        <v>0.5714285714285714</v>
      </c>
    </row>
    <row r="179" spans="1:4" x14ac:dyDescent="0.3">
      <c r="A179" t="s">
        <v>58</v>
      </c>
      <c r="B179">
        <v>2017</v>
      </c>
      <c r="C179" s="1">
        <v>105268575</v>
      </c>
      <c r="D179" s="2">
        <f>IF(mlb_payrolls[[#This Row],[Games]] &gt;0, mlb_payrolls[[#This Row],[Wins]]/mlb_payrolls[[#This Row],[Games]], "")</f>
        <v>0.44444444444444442</v>
      </c>
    </row>
    <row r="180" spans="1:4" x14ac:dyDescent="0.3">
      <c r="A180" t="s">
        <v>36</v>
      </c>
      <c r="B180">
        <v>2023</v>
      </c>
      <c r="C180" s="1">
        <v>105435809</v>
      </c>
      <c r="D180" s="2">
        <f>IF(mlb_payrolls[[#This Row],[Games]] &gt;0, mlb_payrolls[[#This Row],[Wins]]/mlb_payrolls[[#This Row],[Games]], "")</f>
        <v>0.51851851851851849</v>
      </c>
    </row>
    <row r="181" spans="1:4" x14ac:dyDescent="0.3">
      <c r="A181" t="s">
        <v>38</v>
      </c>
      <c r="B181">
        <v>2015</v>
      </c>
      <c r="C181" s="1">
        <v>106231818</v>
      </c>
      <c r="D181" s="2">
        <f>IF(mlb_payrolls[[#This Row],[Games]] &gt;0, mlb_payrolls[[#This Row],[Wins]]/mlb_payrolls[[#This Row],[Games]], "")</f>
        <v>0.51234567901234573</v>
      </c>
    </row>
    <row r="182" spans="1:4" x14ac:dyDescent="0.3">
      <c r="A182" t="s">
        <v>44</v>
      </c>
      <c r="B182">
        <v>2014</v>
      </c>
      <c r="C182" s="1">
        <v>106343190</v>
      </c>
      <c r="D182" s="2">
        <f>IF(mlb_payrolls[[#This Row],[Games]] &gt;0, mlb_payrolls[[#This Row],[Wins]]/mlb_payrolls[[#This Row],[Games]], "")</f>
        <v>0.39506172839506171</v>
      </c>
    </row>
    <row r="183" spans="1:4" x14ac:dyDescent="0.3">
      <c r="A183" t="s">
        <v>23</v>
      </c>
      <c r="B183">
        <v>2019</v>
      </c>
      <c r="C183" s="1">
        <v>106838693</v>
      </c>
      <c r="D183" s="2">
        <f>IF(mlb_payrolls[[#This Row],[Games]] &gt;0, mlb_payrolls[[#This Row],[Wins]]/mlb_payrolls[[#This Row],[Games]], "")</f>
        <v>0.57407407407407407</v>
      </c>
    </row>
    <row r="184" spans="1:4" x14ac:dyDescent="0.3">
      <c r="A184" t="s">
        <v>50</v>
      </c>
      <c r="B184">
        <v>2016</v>
      </c>
      <c r="C184" s="1">
        <v>106902280</v>
      </c>
      <c r="D184" s="2">
        <f>IF(mlb_payrolls[[#This Row],[Games]] &gt;0, mlb_payrolls[[#This Row],[Wins]]/mlb_payrolls[[#This Row],[Games]], "")</f>
        <v>0.46296296296296297</v>
      </c>
    </row>
    <row r="185" spans="1:4" x14ac:dyDescent="0.3">
      <c r="A185" t="s">
        <v>42</v>
      </c>
      <c r="B185">
        <v>2015</v>
      </c>
      <c r="C185" s="1">
        <v>107915272</v>
      </c>
      <c r="D185" s="2">
        <f>IF(mlb_payrolls[[#This Row],[Games]] &gt;0, mlb_payrolls[[#This Row],[Wins]]/mlb_payrolls[[#This Row],[Games]], "")</f>
        <v>0.4567901234567901</v>
      </c>
    </row>
    <row r="186" spans="1:4" x14ac:dyDescent="0.3">
      <c r="A186" t="s">
        <v>38</v>
      </c>
      <c r="B186">
        <v>2012</v>
      </c>
      <c r="C186" s="1">
        <v>107939507</v>
      </c>
      <c r="D186" s="2">
        <f>IF(mlb_payrolls[[#This Row],[Games]] &gt;0, mlb_payrolls[[#This Row],[Wins]]/mlb_payrolls[[#This Row],[Games]], "")</f>
        <v>0.40740740740740738</v>
      </c>
    </row>
    <row r="187" spans="1:4" x14ac:dyDescent="0.3">
      <c r="A187" t="s">
        <v>28</v>
      </c>
      <c r="B187">
        <v>2014</v>
      </c>
      <c r="C187" s="1">
        <v>108777046</v>
      </c>
      <c r="D187" s="2">
        <f>IF(mlb_payrolls[[#This Row],[Games]] &gt;0, mlb_payrolls[[#This Row],[Wins]]/mlb_payrolls[[#This Row],[Games]], "")</f>
        <v>0.50617283950617287</v>
      </c>
    </row>
    <row r="188" spans="1:4" x14ac:dyDescent="0.3">
      <c r="A188" t="s">
        <v>70</v>
      </c>
      <c r="B188">
        <v>2012</v>
      </c>
      <c r="C188" s="1">
        <v>108841055</v>
      </c>
      <c r="D188" s="2">
        <f>IF(mlb_payrolls[[#This Row],[Games]] &gt;0, mlb_payrolls[[#This Row],[Wins]]/mlb_payrolls[[#This Row],[Games]], "")</f>
        <v>0.52469135802469136</v>
      </c>
    </row>
    <row r="189" spans="1:4" x14ac:dyDescent="0.3">
      <c r="A189" t="s">
        <v>28</v>
      </c>
      <c r="B189">
        <v>2018</v>
      </c>
      <c r="C189" s="1">
        <v>108982016</v>
      </c>
      <c r="D189" s="2">
        <f>IF(mlb_payrolls[[#This Row],[Games]] &gt;0, mlb_payrolls[[#This Row],[Wins]]/mlb_payrolls[[#This Row],[Games]], "")</f>
        <v>0.58895705521472397</v>
      </c>
    </row>
    <row r="190" spans="1:4" x14ac:dyDescent="0.3">
      <c r="A190" t="s">
        <v>26</v>
      </c>
      <c r="B190">
        <v>2024</v>
      </c>
      <c r="C190" s="1">
        <v>109335494</v>
      </c>
      <c r="D190" s="2">
        <f>IF(mlb_payrolls[[#This Row],[Games]] &gt;0, mlb_payrolls[[#This Row],[Wins]]/mlb_payrolls[[#This Row],[Games]], "")</f>
        <v>0.56172839506172845</v>
      </c>
    </row>
    <row r="191" spans="1:4" x14ac:dyDescent="0.3">
      <c r="A191" t="s">
        <v>74</v>
      </c>
      <c r="B191">
        <v>2015</v>
      </c>
      <c r="C191" s="1">
        <v>110398927</v>
      </c>
      <c r="D191" s="2">
        <f>IF(mlb_payrolls[[#This Row],[Games]] &gt;0, mlb_payrolls[[#This Row],[Wins]]/mlb_payrolls[[#This Row],[Games]], "")</f>
        <v>0.55555555555555558</v>
      </c>
    </row>
    <row r="192" spans="1:4" x14ac:dyDescent="0.3">
      <c r="A192" t="s">
        <v>36</v>
      </c>
      <c r="B192">
        <v>2017</v>
      </c>
      <c r="C192" s="1">
        <v>110765599</v>
      </c>
      <c r="D192" s="2">
        <f>IF(mlb_payrolls[[#This Row],[Games]] &gt;0, mlb_payrolls[[#This Row],[Wins]]/mlb_payrolls[[#This Row],[Games]], "")</f>
        <v>0.47530864197530864</v>
      </c>
    </row>
    <row r="193" spans="1:4" x14ac:dyDescent="0.3">
      <c r="A193" t="s">
        <v>40</v>
      </c>
      <c r="B193">
        <v>2022</v>
      </c>
      <c r="C193" s="1">
        <v>110826407</v>
      </c>
      <c r="D193" s="2">
        <f>IF(mlb_payrolls[[#This Row],[Games]] &gt;0, mlb_payrolls[[#This Row],[Wins]]/mlb_payrolls[[#This Row],[Games]], "")</f>
        <v>0.55555555555555558</v>
      </c>
    </row>
    <row r="194" spans="1:4" x14ac:dyDescent="0.3">
      <c r="A194" t="s">
        <v>58</v>
      </c>
      <c r="B194">
        <v>2015</v>
      </c>
      <c r="C194" s="1">
        <v>110913266</v>
      </c>
      <c r="D194" s="2">
        <f>IF(mlb_payrolls[[#This Row],[Games]] &gt;0, mlb_payrolls[[#This Row],[Wins]]/mlb_payrolls[[#This Row],[Games]], "")</f>
        <v>0.41358024691358025</v>
      </c>
    </row>
    <row r="195" spans="1:4" x14ac:dyDescent="0.3">
      <c r="A195" t="s">
        <v>68</v>
      </c>
      <c r="B195">
        <v>2019</v>
      </c>
      <c r="C195" s="1">
        <v>111086139</v>
      </c>
      <c r="D195" s="2">
        <f>IF(mlb_payrolls[[#This Row],[Games]] &gt;0, mlb_payrolls[[#This Row],[Wins]]/mlb_payrolls[[#This Row],[Games]], "")</f>
        <v>0.41358024691358025</v>
      </c>
    </row>
    <row r="196" spans="1:4" x14ac:dyDescent="0.3">
      <c r="A196" t="s">
        <v>20</v>
      </c>
      <c r="B196">
        <v>2011</v>
      </c>
      <c r="C196" s="1">
        <v>111521015</v>
      </c>
      <c r="D196" s="2">
        <f>IF(mlb_payrolls[[#This Row],[Games]] &gt;0, mlb_payrolls[[#This Row],[Wins]]/mlb_payrolls[[#This Row],[Games]], "")</f>
        <v>0.5864197530864198</v>
      </c>
    </row>
    <row r="197" spans="1:4" x14ac:dyDescent="0.3">
      <c r="A197" t="s">
        <v>70</v>
      </c>
      <c r="B197">
        <v>2013</v>
      </c>
      <c r="C197" s="1">
        <v>111777595</v>
      </c>
      <c r="D197" s="2">
        <f>IF(mlb_payrolls[[#This Row],[Games]] &gt;0, mlb_payrolls[[#This Row],[Wins]]/mlb_payrolls[[#This Row],[Games]], "")</f>
        <v>0.3888888888888889</v>
      </c>
    </row>
    <row r="198" spans="1:4" x14ac:dyDescent="0.3">
      <c r="A198" t="s">
        <v>72</v>
      </c>
      <c r="B198">
        <v>2020</v>
      </c>
      <c r="C198" s="1">
        <v>111939081</v>
      </c>
      <c r="D198" s="2">
        <f>IF(mlb_payrolls[[#This Row],[Games]] &gt;0, mlb_payrolls[[#This Row],[Wins]]/mlb_payrolls[[#This Row],[Games]], "")</f>
        <v>0.55000000000000004</v>
      </c>
    </row>
    <row r="199" spans="1:4" x14ac:dyDescent="0.3">
      <c r="A199" t="s">
        <v>30</v>
      </c>
      <c r="B199">
        <v>2015</v>
      </c>
      <c r="C199" s="1">
        <v>112333097</v>
      </c>
      <c r="D199" s="2">
        <f>IF(mlb_payrolls[[#This Row],[Games]] &gt;0, mlb_payrolls[[#This Row],[Wins]]/mlb_payrolls[[#This Row],[Games]], "")</f>
        <v>0.39506172839506171</v>
      </c>
    </row>
    <row r="200" spans="1:4" x14ac:dyDescent="0.3">
      <c r="A200" t="s">
        <v>28</v>
      </c>
      <c r="B200">
        <v>2012</v>
      </c>
      <c r="C200" s="1">
        <v>113095795</v>
      </c>
      <c r="D200" s="2">
        <f>IF(mlb_payrolls[[#This Row],[Games]] &gt;0, mlb_payrolls[[#This Row],[Wins]]/mlb_payrolls[[#This Row],[Games]], "")</f>
        <v>0.51234567901234573</v>
      </c>
    </row>
    <row r="201" spans="1:4" x14ac:dyDescent="0.3">
      <c r="A201" t="s">
        <v>30</v>
      </c>
      <c r="B201">
        <v>2014</v>
      </c>
      <c r="C201" s="1">
        <v>113351318</v>
      </c>
      <c r="D201" s="2">
        <f>IF(mlb_payrolls[[#This Row],[Games]] &gt;0, mlb_payrolls[[#This Row],[Wins]]/mlb_payrolls[[#This Row],[Games]], "")</f>
        <v>0.46913580246913578</v>
      </c>
    </row>
    <row r="202" spans="1:4" x14ac:dyDescent="0.3">
      <c r="A202" t="s">
        <v>26</v>
      </c>
      <c r="B202">
        <v>2014</v>
      </c>
      <c r="C202" s="1">
        <v>113562943</v>
      </c>
      <c r="D202" s="2">
        <f>IF(mlb_payrolls[[#This Row],[Games]] &gt;0, mlb_payrolls[[#This Row],[Wins]]/mlb_payrolls[[#This Row],[Games]], "")</f>
        <v>0.59259259259259256</v>
      </c>
    </row>
    <row r="203" spans="1:4" x14ac:dyDescent="0.3">
      <c r="A203" t="s">
        <v>28</v>
      </c>
      <c r="B203">
        <v>2024</v>
      </c>
      <c r="C203" s="1">
        <v>114223379</v>
      </c>
      <c r="D203" s="2">
        <f>IF(mlb_payrolls[[#This Row],[Games]] &gt;0, mlb_payrolls[[#This Row],[Wins]]/mlb_payrolls[[#This Row],[Games]], "")</f>
        <v>0.57407407407407407</v>
      </c>
    </row>
    <row r="204" spans="1:4" x14ac:dyDescent="0.3">
      <c r="A204" t="s">
        <v>38</v>
      </c>
      <c r="B204">
        <v>2011</v>
      </c>
      <c r="C204" s="1">
        <v>114445627</v>
      </c>
      <c r="D204" s="2">
        <f>IF(mlb_payrolls[[#This Row],[Games]] &gt;0, mlb_payrolls[[#This Row],[Wins]]/mlb_payrolls[[#This Row],[Games]], "")</f>
        <v>0.3888888888888889</v>
      </c>
    </row>
    <row r="205" spans="1:4" x14ac:dyDescent="0.3">
      <c r="A205" t="s">
        <v>20</v>
      </c>
      <c r="B205">
        <v>2019</v>
      </c>
      <c r="C205" s="1">
        <v>114631137</v>
      </c>
      <c r="D205" s="2">
        <f>IF(mlb_payrolls[[#This Row],[Games]] &gt;0, mlb_payrolls[[#This Row],[Wins]]/mlb_payrolls[[#This Row],[Games]], "")</f>
        <v>0.29192546583850931</v>
      </c>
    </row>
    <row r="206" spans="1:4" x14ac:dyDescent="0.3">
      <c r="A206" t="s">
        <v>52</v>
      </c>
      <c r="B206">
        <v>2011</v>
      </c>
      <c r="C206" s="1">
        <v>115174517</v>
      </c>
      <c r="D206" s="2">
        <f>IF(mlb_payrolls[[#This Row],[Games]] &gt;0, mlb_payrolls[[#This Row],[Wins]]/mlb_payrolls[[#This Row],[Games]], "")</f>
        <v>0.50931677018633537</v>
      </c>
    </row>
    <row r="207" spans="1:4" x14ac:dyDescent="0.3">
      <c r="A207" t="s">
        <v>28</v>
      </c>
      <c r="B207">
        <v>2023</v>
      </c>
      <c r="C207" s="1">
        <v>115413345</v>
      </c>
      <c r="D207" s="2">
        <f>IF(mlb_payrolls[[#This Row],[Games]] &gt;0, mlb_payrolls[[#This Row],[Wins]]/mlb_payrolls[[#This Row],[Games]], "")</f>
        <v>0.5679012345679012</v>
      </c>
    </row>
    <row r="208" spans="1:4" x14ac:dyDescent="0.3">
      <c r="A208" t="s">
        <v>30</v>
      </c>
      <c r="B208">
        <v>2022</v>
      </c>
      <c r="C208" s="1">
        <v>115417321</v>
      </c>
      <c r="D208" s="2">
        <f>IF(mlb_payrolls[[#This Row],[Games]] &gt;0, mlb_payrolls[[#This Row],[Wins]]/mlb_payrolls[[#This Row],[Games]], "")</f>
        <v>0.38271604938271603</v>
      </c>
    </row>
    <row r="209" spans="1:4" x14ac:dyDescent="0.3">
      <c r="A209" t="s">
        <v>38</v>
      </c>
      <c r="B209">
        <v>2018</v>
      </c>
      <c r="C209" s="1">
        <v>115509520</v>
      </c>
      <c r="D209" s="2">
        <f>IF(mlb_payrolls[[#This Row],[Games]] &gt;0, mlb_payrolls[[#This Row],[Wins]]/mlb_payrolls[[#This Row],[Games]], "")</f>
        <v>0.48148148148148145</v>
      </c>
    </row>
    <row r="210" spans="1:4" x14ac:dyDescent="0.3">
      <c r="A210" t="s">
        <v>40</v>
      </c>
      <c r="B210">
        <v>2014</v>
      </c>
      <c r="C210" s="1">
        <v>115534174</v>
      </c>
      <c r="D210" s="2">
        <f>IF(mlb_payrolls[[#This Row],[Games]] &gt;0, mlb_payrolls[[#This Row],[Wins]]/mlb_payrolls[[#This Row],[Games]], "")</f>
        <v>0.53703703703703709</v>
      </c>
    </row>
    <row r="211" spans="1:4" x14ac:dyDescent="0.3">
      <c r="A211" t="s">
        <v>62</v>
      </c>
      <c r="B211">
        <v>2012</v>
      </c>
      <c r="C211" s="1">
        <v>115861526</v>
      </c>
      <c r="D211" s="2">
        <f>IF(mlb_payrolls[[#This Row],[Games]] &gt;0, mlb_payrolls[[#This Row],[Wins]]/mlb_payrolls[[#This Row],[Games]], "")</f>
        <v>0.37654320987654322</v>
      </c>
    </row>
    <row r="212" spans="1:4" x14ac:dyDescent="0.3">
      <c r="A212" t="s">
        <v>50</v>
      </c>
      <c r="B212">
        <v>2021</v>
      </c>
      <c r="C212" s="1">
        <v>116208966</v>
      </c>
      <c r="D212" s="2">
        <f>IF(mlb_payrolls[[#This Row],[Games]] &gt;0, mlb_payrolls[[#This Row],[Wins]]/mlb_payrolls[[#This Row],[Games]], "")</f>
        <v>0.45962732919254656</v>
      </c>
    </row>
    <row r="213" spans="1:4" x14ac:dyDescent="0.3">
      <c r="A213" t="s">
        <v>26</v>
      </c>
      <c r="B213">
        <v>2015</v>
      </c>
      <c r="C213" s="1">
        <v>116400870</v>
      </c>
      <c r="D213" s="2">
        <f>IF(mlb_payrolls[[#This Row],[Games]] &gt;0, mlb_payrolls[[#This Row],[Wins]]/mlb_payrolls[[#This Row],[Games]], "")</f>
        <v>0.5</v>
      </c>
    </row>
    <row r="214" spans="1:4" x14ac:dyDescent="0.3">
      <c r="A214" t="s">
        <v>34</v>
      </c>
      <c r="B214">
        <v>2013</v>
      </c>
      <c r="C214" s="1">
        <v>116584094</v>
      </c>
      <c r="D214" s="2">
        <f>IF(mlb_payrolls[[#This Row],[Games]] &gt;0, mlb_payrolls[[#This Row],[Wins]]/mlb_payrolls[[#This Row],[Games]], "")</f>
        <v>0.53086419753086422</v>
      </c>
    </row>
    <row r="215" spans="1:4" x14ac:dyDescent="0.3">
      <c r="A215" t="s">
        <v>44</v>
      </c>
      <c r="B215">
        <v>2023</v>
      </c>
      <c r="C215" s="1">
        <v>116777354</v>
      </c>
      <c r="D215" s="2">
        <f>IF(mlb_payrolls[[#This Row],[Games]] &gt;0, mlb_payrolls[[#This Row],[Wins]]/mlb_payrolls[[#This Row],[Games]], "")</f>
        <v>0.51851851851851849</v>
      </c>
    </row>
    <row r="216" spans="1:4" x14ac:dyDescent="0.3">
      <c r="A216" t="s">
        <v>58</v>
      </c>
      <c r="B216">
        <v>2014</v>
      </c>
      <c r="C216" s="1">
        <v>116865707</v>
      </c>
      <c r="D216" s="2">
        <f>IF(mlb_payrolls[[#This Row],[Games]] &gt;0, mlb_payrolls[[#This Row],[Wins]]/mlb_payrolls[[#This Row],[Games]], "")</f>
        <v>0.48765432098765432</v>
      </c>
    </row>
    <row r="217" spans="1:4" x14ac:dyDescent="0.3">
      <c r="A217" t="s">
        <v>70</v>
      </c>
      <c r="B217">
        <v>2015</v>
      </c>
      <c r="C217" s="1">
        <v>116925487</v>
      </c>
      <c r="D217" s="2">
        <f>IF(mlb_payrolls[[#This Row],[Games]] &gt;0, mlb_payrolls[[#This Row],[Wins]]/mlb_payrolls[[#This Row],[Games]], "")</f>
        <v>0.46913580246913578</v>
      </c>
    </row>
    <row r="218" spans="1:4" x14ac:dyDescent="0.3">
      <c r="A218" t="s">
        <v>52</v>
      </c>
      <c r="B218">
        <v>2012</v>
      </c>
      <c r="C218" s="1">
        <v>117202717</v>
      </c>
      <c r="D218" s="2">
        <f>IF(mlb_payrolls[[#This Row],[Games]] &gt;0, mlb_payrolls[[#This Row],[Wins]]/mlb_payrolls[[#This Row],[Games]], "")</f>
        <v>0.53086419753086422</v>
      </c>
    </row>
    <row r="219" spans="1:4" x14ac:dyDescent="0.3">
      <c r="A219" t="s">
        <v>44</v>
      </c>
      <c r="B219">
        <v>2019</v>
      </c>
      <c r="C219" s="1">
        <v>118672377</v>
      </c>
      <c r="D219" s="2">
        <f>IF(mlb_payrolls[[#This Row],[Games]] &gt;0, mlb_payrolls[[#This Row],[Wins]]/mlb_payrolls[[#This Row],[Games]], "")</f>
        <v>0.52469135802469136</v>
      </c>
    </row>
    <row r="220" spans="1:4" x14ac:dyDescent="0.3">
      <c r="A220" t="s">
        <v>46</v>
      </c>
      <c r="B220">
        <v>2011</v>
      </c>
      <c r="C220" s="1">
        <v>118919465</v>
      </c>
      <c r="D220" s="2">
        <f>IF(mlb_payrolls[[#This Row],[Games]] &gt;0, mlb_payrolls[[#This Row],[Wins]]/mlb_payrolls[[#This Row],[Games]], "")</f>
        <v>0.55555555555555558</v>
      </c>
    </row>
    <row r="221" spans="1:4" x14ac:dyDescent="0.3">
      <c r="A221" t="s">
        <v>20</v>
      </c>
      <c r="B221">
        <v>2023</v>
      </c>
      <c r="C221" s="1">
        <v>119344514</v>
      </c>
      <c r="D221" s="2">
        <f>IF(mlb_payrolls[[#This Row],[Games]] &gt;0, mlb_payrolls[[#This Row],[Wins]]/mlb_payrolls[[#This Row],[Games]], "")</f>
        <v>0.48148148148148145</v>
      </c>
    </row>
    <row r="222" spans="1:4" x14ac:dyDescent="0.3">
      <c r="A222" t="s">
        <v>46</v>
      </c>
      <c r="B222">
        <v>2012</v>
      </c>
      <c r="C222" s="1">
        <v>119957765</v>
      </c>
      <c r="D222" s="2">
        <f>IF(mlb_payrolls[[#This Row],[Games]] &gt;0, mlb_payrolls[[#This Row],[Wins]]/mlb_payrolls[[#This Row],[Games]], "")</f>
        <v>0.54320987654320985</v>
      </c>
    </row>
    <row r="223" spans="1:4" x14ac:dyDescent="0.3">
      <c r="A223" t="s">
        <v>46</v>
      </c>
      <c r="B223">
        <v>2013</v>
      </c>
      <c r="C223" s="1">
        <v>120192638</v>
      </c>
      <c r="D223" s="2">
        <f>IF(mlb_payrolls[[#This Row],[Games]] &gt;0, mlb_payrolls[[#This Row],[Wins]]/mlb_payrolls[[#This Row],[Games]], "")</f>
        <v>0.59876543209876543</v>
      </c>
    </row>
    <row r="224" spans="1:4" x14ac:dyDescent="0.3">
      <c r="A224" t="s">
        <v>64</v>
      </c>
      <c r="B224">
        <v>2018</v>
      </c>
      <c r="C224" s="1">
        <v>120525018</v>
      </c>
      <c r="D224" s="2">
        <f>IF(mlb_payrolls[[#This Row],[Games]] &gt;0, mlb_payrolls[[#This Row],[Wins]]/mlb_payrolls[[#This Row],[Games]], "")</f>
        <v>0.41358024691358025</v>
      </c>
    </row>
    <row r="225" spans="1:4" x14ac:dyDescent="0.3">
      <c r="A225" t="s">
        <v>38</v>
      </c>
      <c r="B225">
        <v>2017</v>
      </c>
      <c r="C225" s="1">
        <v>120842831</v>
      </c>
      <c r="D225" s="2">
        <f>IF(mlb_payrolls[[#This Row],[Games]] &gt;0, mlb_payrolls[[#This Row],[Wins]]/mlb_payrolls[[#This Row],[Games]], "")</f>
        <v>0.52469135802469136</v>
      </c>
    </row>
    <row r="226" spans="1:4" x14ac:dyDescent="0.3">
      <c r="A226" t="s">
        <v>46</v>
      </c>
      <c r="B226">
        <v>2014</v>
      </c>
      <c r="C226" s="1">
        <v>121340470</v>
      </c>
      <c r="D226" s="2">
        <f>IF(mlb_payrolls[[#This Row],[Games]] &gt;0, mlb_payrolls[[#This Row],[Wins]]/mlb_payrolls[[#This Row],[Games]], "")</f>
        <v>0.55555555555555558</v>
      </c>
    </row>
    <row r="227" spans="1:4" x14ac:dyDescent="0.3">
      <c r="A227" t="s">
        <v>38</v>
      </c>
      <c r="B227">
        <v>2021</v>
      </c>
      <c r="C227" s="1">
        <v>121417939</v>
      </c>
      <c r="D227" s="2">
        <f>IF(mlb_payrolls[[#This Row],[Games]] &gt;0, mlb_payrolls[[#This Row],[Wins]]/mlb_payrolls[[#This Row],[Games]], "")</f>
        <v>0.45061728395061729</v>
      </c>
    </row>
    <row r="228" spans="1:4" x14ac:dyDescent="0.3">
      <c r="A228" t="s">
        <v>32</v>
      </c>
      <c r="B228">
        <v>2024</v>
      </c>
      <c r="C228" s="1">
        <v>122566873</v>
      </c>
      <c r="D228" s="2">
        <f>IF(mlb_payrolls[[#This Row],[Games]] &gt;0, mlb_payrolls[[#This Row],[Wins]]/mlb_payrolls[[#This Row],[Games]], "")</f>
        <v>0.53086419753086422</v>
      </c>
    </row>
    <row r="229" spans="1:4" x14ac:dyDescent="0.3">
      <c r="A229" t="s">
        <v>52</v>
      </c>
      <c r="B229">
        <v>2020</v>
      </c>
      <c r="C229" s="1">
        <v>124719080</v>
      </c>
      <c r="D229" s="2">
        <f>IF(mlb_payrolls[[#This Row],[Games]] &gt;0, mlb_payrolls[[#This Row],[Wins]]/mlb_payrolls[[#This Row],[Games]], "")</f>
        <v>0.71666666666666667</v>
      </c>
    </row>
    <row r="230" spans="1:4" x14ac:dyDescent="0.3">
      <c r="A230" t="s">
        <v>40</v>
      </c>
      <c r="B230">
        <v>2023</v>
      </c>
      <c r="C230" s="1">
        <v>124766903</v>
      </c>
      <c r="D230" s="2">
        <f>IF(mlb_payrolls[[#This Row],[Games]] &gt;0, mlb_payrolls[[#This Row],[Wins]]/mlb_payrolls[[#This Row],[Games]], "")</f>
        <v>0.54320987654320985</v>
      </c>
    </row>
    <row r="231" spans="1:4" x14ac:dyDescent="0.3">
      <c r="A231" t="s">
        <v>64</v>
      </c>
      <c r="B231">
        <v>2014</v>
      </c>
      <c r="C231" s="1">
        <v>124805583</v>
      </c>
      <c r="D231" s="2">
        <f>IF(mlb_payrolls[[#This Row],[Games]] &gt;0, mlb_payrolls[[#This Row],[Wins]]/mlb_payrolls[[#This Row],[Games]], "")</f>
        <v>0.41358024691358025</v>
      </c>
    </row>
    <row r="232" spans="1:4" x14ac:dyDescent="0.3">
      <c r="A232" t="s">
        <v>54</v>
      </c>
      <c r="B232">
        <v>2011</v>
      </c>
      <c r="C232" s="1">
        <v>125242452</v>
      </c>
      <c r="D232" s="2">
        <f>IF(mlb_payrolls[[#This Row],[Games]] &gt;0, mlb_payrolls[[#This Row],[Wins]]/mlb_payrolls[[#This Row],[Games]], "")</f>
        <v>0.53086419753086422</v>
      </c>
    </row>
    <row r="233" spans="1:4" x14ac:dyDescent="0.3">
      <c r="A233" t="s">
        <v>38</v>
      </c>
      <c r="B233">
        <v>2019</v>
      </c>
      <c r="C233" s="1">
        <v>125256003</v>
      </c>
      <c r="D233" s="2">
        <f>IF(mlb_payrolls[[#This Row],[Games]] &gt;0, mlb_payrolls[[#This Row],[Wins]]/mlb_payrolls[[#This Row],[Games]], "")</f>
        <v>0.62345679012345678</v>
      </c>
    </row>
    <row r="234" spans="1:4" x14ac:dyDescent="0.3">
      <c r="A234" t="s">
        <v>40</v>
      </c>
      <c r="B234">
        <v>2015</v>
      </c>
      <c r="C234" s="1">
        <v>126045473</v>
      </c>
      <c r="D234" s="2">
        <f>IF(mlb_payrolls[[#This Row],[Games]] &gt;0, mlb_payrolls[[#This Row],[Wins]]/mlb_payrolls[[#This Row],[Games]], "")</f>
        <v>0.46913580246913578</v>
      </c>
    </row>
    <row r="235" spans="1:4" x14ac:dyDescent="0.3">
      <c r="A235" t="s">
        <v>32</v>
      </c>
      <c r="B235">
        <v>2015</v>
      </c>
      <c r="C235" s="1">
        <v>126529835</v>
      </c>
      <c r="D235" s="2">
        <f>IF(mlb_payrolls[[#This Row],[Games]] &gt;0, mlb_payrolls[[#This Row],[Wins]]/mlb_payrolls[[#This Row],[Games]], "")</f>
        <v>0.5864197530864198</v>
      </c>
    </row>
    <row r="236" spans="1:4" x14ac:dyDescent="0.3">
      <c r="A236" t="s">
        <v>30</v>
      </c>
      <c r="B236">
        <v>2021</v>
      </c>
      <c r="C236" s="1">
        <v>126587447</v>
      </c>
      <c r="D236" s="2">
        <f>IF(mlb_payrolls[[#This Row],[Games]] &gt;0, mlb_payrolls[[#This Row],[Wins]]/mlb_payrolls[[#This Row],[Games]], "")</f>
        <v>0.51234567901234573</v>
      </c>
    </row>
    <row r="237" spans="1:4" x14ac:dyDescent="0.3">
      <c r="A237" t="s">
        <v>34</v>
      </c>
      <c r="B237">
        <v>2022</v>
      </c>
      <c r="C237" s="1">
        <v>126672438</v>
      </c>
      <c r="D237" s="2">
        <f>IF(mlb_payrolls[[#This Row],[Games]] &gt;0, mlb_payrolls[[#This Row],[Wins]]/mlb_payrolls[[#This Row],[Games]], "")</f>
        <v>0.33950617283950618</v>
      </c>
    </row>
    <row r="238" spans="1:4" x14ac:dyDescent="0.3">
      <c r="A238" t="s">
        <v>70</v>
      </c>
      <c r="B238">
        <v>2011</v>
      </c>
      <c r="C238" s="1">
        <v>127263027</v>
      </c>
      <c r="D238" s="2">
        <f>IF(mlb_payrolls[[#This Row],[Games]] &gt;0, mlb_payrolls[[#This Row],[Wins]]/mlb_payrolls[[#This Row],[Games]], "")</f>
        <v>0.48765432098765432</v>
      </c>
    </row>
    <row r="239" spans="1:4" x14ac:dyDescent="0.3">
      <c r="A239" t="s">
        <v>64</v>
      </c>
      <c r="B239">
        <v>2019</v>
      </c>
      <c r="C239" s="1">
        <v>127538766</v>
      </c>
      <c r="D239" s="2">
        <f>IF(mlb_payrolls[[#This Row],[Games]] &gt;0, mlb_payrolls[[#This Row],[Wins]]/mlb_payrolls[[#This Row],[Games]], "")</f>
        <v>0.48148148148148145</v>
      </c>
    </row>
    <row r="240" spans="1:4" x14ac:dyDescent="0.3">
      <c r="A240" t="s">
        <v>30</v>
      </c>
      <c r="B240">
        <v>2019</v>
      </c>
      <c r="C240" s="1">
        <v>128691569</v>
      </c>
      <c r="D240" s="2">
        <f>IF(mlb_payrolls[[#This Row],[Games]] &gt;0, mlb_payrolls[[#This Row],[Wins]]/mlb_payrolls[[#This Row],[Games]], "")</f>
        <v>0.46296296296296297</v>
      </c>
    </row>
    <row r="241" spans="1:4" x14ac:dyDescent="0.3">
      <c r="A241" t="s">
        <v>38</v>
      </c>
      <c r="B241">
        <v>2024</v>
      </c>
      <c r="C241" s="1">
        <v>129080051</v>
      </c>
      <c r="D241" s="2">
        <f>IF(mlb_payrolls[[#This Row],[Games]] &gt;0, mlb_payrolls[[#This Row],[Wins]]/mlb_payrolls[[#This Row],[Games]], "")</f>
        <v>0.50617283950617287</v>
      </c>
    </row>
    <row r="242" spans="1:4" x14ac:dyDescent="0.3">
      <c r="A242" t="s">
        <v>70</v>
      </c>
      <c r="B242">
        <v>2016</v>
      </c>
      <c r="C242" s="1">
        <v>129715686</v>
      </c>
      <c r="D242" s="2">
        <f>IF(mlb_payrolls[[#This Row],[Games]] &gt;0, mlb_payrolls[[#This Row],[Wins]]/mlb_payrolls[[#This Row],[Games]], "")</f>
        <v>0.48148148148148145</v>
      </c>
    </row>
    <row r="243" spans="1:4" x14ac:dyDescent="0.3">
      <c r="A243" t="s">
        <v>58</v>
      </c>
      <c r="B243">
        <v>2018</v>
      </c>
      <c r="C243" s="1">
        <v>129739447</v>
      </c>
      <c r="D243" s="2">
        <f>IF(mlb_payrolls[[#This Row],[Games]] &gt;0, mlb_payrolls[[#This Row],[Wins]]/mlb_payrolls[[#This Row],[Games]], "")</f>
        <v>0.55555555555555558</v>
      </c>
    </row>
    <row r="244" spans="1:4" x14ac:dyDescent="0.3">
      <c r="A244" t="s">
        <v>32</v>
      </c>
      <c r="B244">
        <v>2018</v>
      </c>
      <c r="C244" s="1">
        <v>129944821</v>
      </c>
      <c r="D244" s="2">
        <f>IF(mlb_payrolls[[#This Row],[Games]] &gt;0, mlb_payrolls[[#This Row],[Wins]]/mlb_payrolls[[#This Row],[Games]], "")</f>
        <v>0.35802469135802467</v>
      </c>
    </row>
    <row r="245" spans="1:4" x14ac:dyDescent="0.3">
      <c r="A245" t="s">
        <v>26</v>
      </c>
      <c r="B245">
        <v>2018</v>
      </c>
      <c r="C245" s="1">
        <v>130413607</v>
      </c>
      <c r="D245" s="2">
        <f>IF(mlb_payrolls[[#This Row],[Games]] &gt;0, mlb_payrolls[[#This Row],[Wins]]/mlb_payrolls[[#This Row],[Games]], "")</f>
        <v>0.29012345679012347</v>
      </c>
    </row>
    <row r="246" spans="1:4" x14ac:dyDescent="0.3">
      <c r="A246" t="s">
        <v>28</v>
      </c>
      <c r="B246">
        <v>2022</v>
      </c>
      <c r="C246" s="1">
        <v>130769325</v>
      </c>
      <c r="D246" s="2">
        <f>IF(mlb_payrolls[[#This Row],[Games]] &gt;0, mlb_payrolls[[#This Row],[Wins]]/mlb_payrolls[[#This Row],[Games]], "")</f>
        <v>0.53086419753086422</v>
      </c>
    </row>
    <row r="247" spans="1:4" x14ac:dyDescent="0.3">
      <c r="A247" t="s">
        <v>20</v>
      </c>
      <c r="B247">
        <v>2018</v>
      </c>
      <c r="C247" s="1">
        <v>130995349</v>
      </c>
      <c r="D247" s="2">
        <f>IF(mlb_payrolls[[#This Row],[Games]] &gt;0, mlb_payrolls[[#This Row],[Wins]]/mlb_payrolls[[#This Row],[Games]], "")</f>
        <v>0.39506172839506171</v>
      </c>
    </row>
    <row r="248" spans="1:4" x14ac:dyDescent="0.3">
      <c r="A248" t="s">
        <v>68</v>
      </c>
      <c r="B248">
        <v>2013</v>
      </c>
      <c r="C248" s="1">
        <v>131771168</v>
      </c>
      <c r="D248" s="2">
        <f>IF(mlb_payrolls[[#This Row],[Games]] &gt;0, mlb_payrolls[[#This Row],[Wins]]/mlb_payrolls[[#This Row],[Games]], "")</f>
        <v>0.4567901234567901</v>
      </c>
    </row>
    <row r="249" spans="1:4" x14ac:dyDescent="0.3">
      <c r="A249" t="s">
        <v>46</v>
      </c>
      <c r="B249">
        <v>2015</v>
      </c>
      <c r="C249" s="1">
        <v>132178951</v>
      </c>
      <c r="D249" s="2">
        <f>IF(mlb_payrolls[[#This Row],[Games]] &gt;0, mlb_payrolls[[#This Row],[Wins]]/mlb_payrolls[[#This Row],[Games]], "")</f>
        <v>0.61728395061728392</v>
      </c>
    </row>
    <row r="250" spans="1:4" x14ac:dyDescent="0.3">
      <c r="A250" t="s">
        <v>23</v>
      </c>
      <c r="B250">
        <v>2017</v>
      </c>
      <c r="C250" s="1">
        <v>132258928</v>
      </c>
      <c r="D250" s="2">
        <f>IF(mlb_payrolls[[#This Row],[Games]] &gt;0, mlb_payrolls[[#This Row],[Wins]]/mlb_payrolls[[#This Row],[Games]], "")</f>
        <v>0.62962962962962965</v>
      </c>
    </row>
    <row r="251" spans="1:4" x14ac:dyDescent="0.3">
      <c r="A251" t="s">
        <v>70</v>
      </c>
      <c r="B251">
        <v>2024</v>
      </c>
      <c r="C251" s="1">
        <v>132497547</v>
      </c>
      <c r="D251" s="2">
        <f>IF(mlb_payrolls[[#This Row],[Games]] &gt;0, mlb_payrolls[[#This Row],[Wins]]/mlb_payrolls[[#This Row],[Games]], "")</f>
        <v>0.25308641975308643</v>
      </c>
    </row>
    <row r="252" spans="1:4" x14ac:dyDescent="0.3">
      <c r="A252" t="s">
        <v>62</v>
      </c>
      <c r="B252">
        <v>2015</v>
      </c>
      <c r="C252" s="1">
        <v>132993810</v>
      </c>
      <c r="D252" s="2">
        <f>IF(mlb_payrolls[[#This Row],[Games]] &gt;0, mlb_payrolls[[#This Row],[Wins]]/mlb_payrolls[[#This Row],[Games]], "")</f>
        <v>0.59876543209876543</v>
      </c>
    </row>
    <row r="253" spans="1:4" x14ac:dyDescent="0.3">
      <c r="A253" t="s">
        <v>20</v>
      </c>
      <c r="B253">
        <v>2022</v>
      </c>
      <c r="C253" s="1">
        <v>135112588</v>
      </c>
      <c r="D253" s="2">
        <f>IF(mlb_payrolls[[#This Row],[Games]] &gt;0, mlb_payrolls[[#This Row],[Wins]]/mlb_payrolls[[#This Row],[Games]], "")</f>
        <v>0.40740740740740738</v>
      </c>
    </row>
    <row r="254" spans="1:4" x14ac:dyDescent="0.3">
      <c r="A254" t="s">
        <v>64</v>
      </c>
      <c r="B254">
        <v>2015</v>
      </c>
      <c r="C254" s="1">
        <v>135285607</v>
      </c>
      <c r="D254" s="2">
        <f>IF(mlb_payrolls[[#This Row],[Games]] &gt;0, mlb_payrolls[[#This Row],[Wins]]/mlb_payrolls[[#This Row],[Games]], "")</f>
        <v>0.54320987654320985</v>
      </c>
    </row>
    <row r="255" spans="1:4" x14ac:dyDescent="0.3">
      <c r="A255" t="s">
        <v>28</v>
      </c>
      <c r="B255">
        <v>2019</v>
      </c>
      <c r="C255" s="1">
        <v>135889019</v>
      </c>
      <c r="D255" s="2">
        <f>IF(mlb_payrolls[[#This Row],[Games]] &gt;0, mlb_payrolls[[#This Row],[Wins]]/mlb_payrolls[[#This Row],[Games]], "")</f>
        <v>0.54938271604938271</v>
      </c>
    </row>
    <row r="256" spans="1:4" x14ac:dyDescent="0.3">
      <c r="A256" t="s">
        <v>54</v>
      </c>
      <c r="B256">
        <v>2012</v>
      </c>
      <c r="C256" s="1">
        <v>137043205</v>
      </c>
      <c r="D256" s="2">
        <f>IF(mlb_payrolls[[#This Row],[Games]] &gt;0, mlb_payrolls[[#This Row],[Wins]]/mlb_payrolls[[#This Row],[Games]], "")</f>
        <v>0.58024691358024694</v>
      </c>
    </row>
    <row r="257" spans="1:4" x14ac:dyDescent="0.3">
      <c r="A257" t="s">
        <v>62</v>
      </c>
      <c r="B257">
        <v>2011</v>
      </c>
      <c r="C257" s="1">
        <v>137666584</v>
      </c>
      <c r="D257" s="2">
        <f>IF(mlb_payrolls[[#This Row],[Games]] &gt;0, mlb_payrolls[[#This Row],[Wins]]/mlb_payrolls[[#This Row],[Games]], "")</f>
        <v>0.43827160493827161</v>
      </c>
    </row>
    <row r="258" spans="1:4" x14ac:dyDescent="0.3">
      <c r="A258" t="s">
        <v>64</v>
      </c>
      <c r="B258">
        <v>2013</v>
      </c>
      <c r="C258" s="1">
        <v>137937146</v>
      </c>
      <c r="D258" s="2">
        <f>IF(mlb_payrolls[[#This Row],[Games]] &gt;0, mlb_payrolls[[#This Row],[Wins]]/mlb_payrolls[[#This Row],[Games]], "")</f>
        <v>0.55828220858895705</v>
      </c>
    </row>
    <row r="259" spans="1:4" x14ac:dyDescent="0.3">
      <c r="A259" t="s">
        <v>68</v>
      </c>
      <c r="B259">
        <v>2015</v>
      </c>
      <c r="C259" s="1">
        <v>138309664</v>
      </c>
      <c r="D259" s="2">
        <f>IF(mlb_payrolls[[#This Row],[Games]] &gt;0, mlb_payrolls[[#This Row],[Wins]]/mlb_payrolls[[#This Row],[Games]], "")</f>
        <v>0.57407407407407407</v>
      </c>
    </row>
    <row r="260" spans="1:4" x14ac:dyDescent="0.3">
      <c r="A260" t="s">
        <v>64</v>
      </c>
      <c r="B260">
        <v>2012</v>
      </c>
      <c r="C260" s="1">
        <v>138312903</v>
      </c>
      <c r="D260" s="2">
        <f>IF(mlb_payrolls[[#This Row],[Games]] &gt;0, mlb_payrolls[[#This Row],[Wins]]/mlb_payrolls[[#This Row],[Games]], "")</f>
        <v>0.57407407407407407</v>
      </c>
    </row>
    <row r="261" spans="1:4" x14ac:dyDescent="0.3">
      <c r="A261" t="s">
        <v>66</v>
      </c>
      <c r="B261">
        <v>2017</v>
      </c>
      <c r="C261" s="1">
        <v>138344211</v>
      </c>
      <c r="D261" s="2">
        <f>IF(mlb_payrolls[[#This Row],[Games]] &gt;0, mlb_payrolls[[#This Row],[Wins]]/mlb_payrolls[[#This Row],[Games]], "")</f>
        <v>0.62345679012345678</v>
      </c>
    </row>
    <row r="262" spans="1:4" x14ac:dyDescent="0.3">
      <c r="A262" t="s">
        <v>50</v>
      </c>
      <c r="B262">
        <v>2017</v>
      </c>
      <c r="C262" s="1">
        <v>139499341</v>
      </c>
      <c r="D262" s="2">
        <f>IF(mlb_payrolls[[#This Row],[Games]] &gt;0, mlb_payrolls[[#This Row],[Wins]]/mlb_payrolls[[#This Row],[Games]], "")</f>
        <v>0.53703703703703709</v>
      </c>
    </row>
    <row r="263" spans="1:4" x14ac:dyDescent="0.3">
      <c r="A263" t="s">
        <v>34</v>
      </c>
      <c r="B263">
        <v>2016</v>
      </c>
      <c r="C263" s="1">
        <v>139583852</v>
      </c>
      <c r="D263" s="2">
        <f>IF(mlb_payrolls[[#This Row],[Games]] &gt;0, mlb_payrolls[[#This Row],[Wins]]/mlb_payrolls[[#This Row],[Games]], "")</f>
        <v>0.5864197530864198</v>
      </c>
    </row>
    <row r="264" spans="1:4" x14ac:dyDescent="0.3">
      <c r="A264" t="s">
        <v>50</v>
      </c>
      <c r="B264">
        <v>2022</v>
      </c>
      <c r="C264" s="1">
        <v>140012218</v>
      </c>
      <c r="D264" s="2">
        <f>IF(mlb_payrolls[[#This Row],[Games]] &gt;0, mlb_payrolls[[#This Row],[Wins]]/mlb_payrolls[[#This Row],[Games]], "")</f>
        <v>0.41975308641975306</v>
      </c>
    </row>
    <row r="265" spans="1:4" x14ac:dyDescent="0.3">
      <c r="A265" t="s">
        <v>54</v>
      </c>
      <c r="B265">
        <v>2013</v>
      </c>
      <c r="C265" s="1">
        <v>140280186</v>
      </c>
      <c r="D265" s="2">
        <f>IF(mlb_payrolls[[#This Row],[Games]] &gt;0, mlb_payrolls[[#This Row],[Wins]]/mlb_payrolls[[#This Row],[Games]], "")</f>
        <v>0.46913580246913578</v>
      </c>
    </row>
    <row r="266" spans="1:4" x14ac:dyDescent="0.3">
      <c r="A266" t="s">
        <v>70</v>
      </c>
      <c r="B266">
        <v>2021</v>
      </c>
      <c r="C266" s="1">
        <v>140406825</v>
      </c>
      <c r="D266" s="2">
        <f>IF(mlb_payrolls[[#This Row],[Games]] &gt;0, mlb_payrolls[[#This Row],[Wins]]/mlb_payrolls[[#This Row],[Games]], "")</f>
        <v>0.57407407407407407</v>
      </c>
    </row>
    <row r="267" spans="1:4" x14ac:dyDescent="0.3">
      <c r="A267" t="s">
        <v>60</v>
      </c>
      <c r="B267">
        <v>2013</v>
      </c>
      <c r="C267" s="1">
        <v>141542644</v>
      </c>
      <c r="D267" s="2">
        <f>IF(mlb_payrolls[[#This Row],[Games]] &gt;0, mlb_payrolls[[#This Row],[Wins]]/mlb_payrolls[[#This Row],[Games]], "")</f>
        <v>0.48148148148148145</v>
      </c>
    </row>
    <row r="268" spans="1:4" x14ac:dyDescent="0.3">
      <c r="A268" t="s">
        <v>32</v>
      </c>
      <c r="B268">
        <v>2016</v>
      </c>
      <c r="C268" s="1">
        <v>141587358</v>
      </c>
      <c r="D268" s="2">
        <f>IF(mlb_payrolls[[#This Row],[Games]] &gt;0, mlb_payrolls[[#This Row],[Wins]]/mlb_payrolls[[#This Row],[Games]], "")</f>
        <v>0.5</v>
      </c>
    </row>
    <row r="269" spans="1:4" x14ac:dyDescent="0.3">
      <c r="A269" t="s">
        <v>56</v>
      </c>
      <c r="B269">
        <v>2015</v>
      </c>
      <c r="C269" s="1">
        <v>141722639</v>
      </c>
      <c r="D269" s="2">
        <f>IF(mlb_payrolls[[#This Row],[Games]] &gt;0, mlb_payrolls[[#This Row],[Wins]]/mlb_payrolls[[#This Row],[Games]], "")</f>
        <v>0.3888888888888889</v>
      </c>
    </row>
    <row r="270" spans="1:4" x14ac:dyDescent="0.3">
      <c r="A270" t="s">
        <v>44</v>
      </c>
      <c r="B270">
        <v>2018</v>
      </c>
      <c r="C270" s="1">
        <v>141724597</v>
      </c>
      <c r="D270" s="2">
        <f>IF(mlb_payrolls[[#This Row],[Games]] &gt;0, mlb_payrolls[[#This Row],[Wins]]/mlb_payrolls[[#This Row],[Games]], "")</f>
        <v>0.50617283950617287</v>
      </c>
    </row>
    <row r="271" spans="1:4" x14ac:dyDescent="0.3">
      <c r="A271" t="s">
        <v>68</v>
      </c>
      <c r="B271">
        <v>2014</v>
      </c>
      <c r="C271" s="1">
        <v>141812172</v>
      </c>
      <c r="D271" s="2">
        <f>IF(mlb_payrolls[[#This Row],[Games]] &gt;0, mlb_payrolls[[#This Row],[Wins]]/mlb_payrolls[[#This Row],[Games]], "")</f>
        <v>0.51234567901234573</v>
      </c>
    </row>
    <row r="272" spans="1:4" x14ac:dyDescent="0.3">
      <c r="A272" t="s">
        <v>64</v>
      </c>
      <c r="B272">
        <v>2017</v>
      </c>
      <c r="C272" s="1">
        <v>141966320</v>
      </c>
      <c r="D272" s="2">
        <f>IF(mlb_payrolls[[#This Row],[Games]] &gt;0, mlb_payrolls[[#This Row],[Wins]]/mlb_payrolls[[#This Row],[Games]], "")</f>
        <v>0.48148148148148145</v>
      </c>
    </row>
    <row r="273" spans="1:4" x14ac:dyDescent="0.3">
      <c r="A273" t="s">
        <v>60</v>
      </c>
      <c r="B273">
        <v>2015</v>
      </c>
      <c r="C273" s="1">
        <v>142198162</v>
      </c>
      <c r="D273" s="2">
        <f>IF(mlb_payrolls[[#This Row],[Games]] &gt;0, mlb_payrolls[[#This Row],[Wins]]/mlb_payrolls[[#This Row],[Games]], "")</f>
        <v>0.52469135802469136</v>
      </c>
    </row>
    <row r="274" spans="1:4" x14ac:dyDescent="0.3">
      <c r="A274" t="s">
        <v>74</v>
      </c>
      <c r="B274">
        <v>2011</v>
      </c>
      <c r="C274" s="1">
        <v>142245841</v>
      </c>
      <c r="D274" s="2">
        <f>IF(mlb_payrolls[[#This Row],[Games]] &gt;0, mlb_payrolls[[#This Row],[Wins]]/mlb_payrolls[[#This Row],[Games]], "")</f>
        <v>0.47530864197530864</v>
      </c>
    </row>
    <row r="275" spans="1:4" x14ac:dyDescent="0.3">
      <c r="A275" t="s">
        <v>23</v>
      </c>
      <c r="B275">
        <v>2018</v>
      </c>
      <c r="C275" s="1">
        <v>142604703</v>
      </c>
      <c r="D275" s="2">
        <f>IF(mlb_payrolls[[#This Row],[Games]] &gt;0, mlb_payrolls[[#This Row],[Wins]]/mlb_payrolls[[#This Row],[Games]], "")</f>
        <v>0.56172839506172845</v>
      </c>
    </row>
    <row r="276" spans="1:4" x14ac:dyDescent="0.3">
      <c r="A276" t="s">
        <v>64</v>
      </c>
      <c r="B276">
        <v>2016</v>
      </c>
      <c r="C276" s="1">
        <v>143021690</v>
      </c>
      <c r="D276" s="2">
        <f>IF(mlb_payrolls[[#This Row],[Games]] &gt;0, mlb_payrolls[[#This Row],[Wins]]/mlb_payrolls[[#This Row],[Games]], "")</f>
        <v>0.5864197530864198</v>
      </c>
    </row>
    <row r="277" spans="1:4" x14ac:dyDescent="0.3">
      <c r="A277" t="s">
        <v>34</v>
      </c>
      <c r="B277">
        <v>2014</v>
      </c>
      <c r="C277" s="1">
        <v>143278577</v>
      </c>
      <c r="D277" s="2">
        <f>IF(mlb_payrolls[[#This Row],[Games]] &gt;0, mlb_payrolls[[#This Row],[Wins]]/mlb_payrolls[[#This Row],[Games]], "")</f>
        <v>0.59259259259259256</v>
      </c>
    </row>
    <row r="278" spans="1:4" x14ac:dyDescent="0.3">
      <c r="A278" t="s">
        <v>74</v>
      </c>
      <c r="B278">
        <v>2017</v>
      </c>
      <c r="C278" s="1">
        <v>143315158</v>
      </c>
      <c r="D278" s="2">
        <f>IF(mlb_payrolls[[#This Row],[Games]] &gt;0, mlb_payrolls[[#This Row],[Wins]]/mlb_payrolls[[#This Row],[Games]], "")</f>
        <v>0.43209876543209874</v>
      </c>
    </row>
    <row r="279" spans="1:4" x14ac:dyDescent="0.3">
      <c r="A279" t="s">
        <v>20</v>
      </c>
      <c r="B279">
        <v>2012</v>
      </c>
      <c r="C279" s="1">
        <v>143782286</v>
      </c>
      <c r="D279" s="2">
        <f>IF(mlb_payrolls[[#This Row],[Games]] &gt;0, mlb_payrolls[[#This Row],[Wins]]/mlb_payrolls[[#This Row],[Games]], "")</f>
        <v>0.54320987654320985</v>
      </c>
    </row>
    <row r="280" spans="1:4" x14ac:dyDescent="0.3">
      <c r="A280" t="s">
        <v>58</v>
      </c>
      <c r="B280">
        <v>2019</v>
      </c>
      <c r="C280" s="1">
        <v>143947963</v>
      </c>
      <c r="D280" s="2">
        <f>IF(mlb_payrolls[[#This Row],[Games]] &gt;0, mlb_payrolls[[#This Row],[Wins]]/mlb_payrolls[[#This Row],[Games]], "")</f>
        <v>0.59876543209876543</v>
      </c>
    </row>
    <row r="281" spans="1:4" x14ac:dyDescent="0.3">
      <c r="A281" t="s">
        <v>50</v>
      </c>
      <c r="B281">
        <v>2018</v>
      </c>
      <c r="C281" s="1">
        <v>143968544</v>
      </c>
      <c r="D281" s="2">
        <f>IF(mlb_payrolls[[#This Row],[Games]] &gt;0, mlb_payrolls[[#This Row],[Wins]]/mlb_payrolls[[#This Row],[Games]], "")</f>
        <v>0.55828220858895705</v>
      </c>
    </row>
    <row r="282" spans="1:4" x14ac:dyDescent="0.3">
      <c r="A282" t="s">
        <v>62</v>
      </c>
      <c r="B282">
        <v>2021</v>
      </c>
      <c r="C282" s="1">
        <v>144037170</v>
      </c>
      <c r="D282" s="2">
        <f>IF(mlb_payrolls[[#This Row],[Games]] &gt;0, mlb_payrolls[[#This Row],[Wins]]/mlb_payrolls[[#This Row],[Games]], "")</f>
        <v>0.43827160493827161</v>
      </c>
    </row>
    <row r="283" spans="1:4" x14ac:dyDescent="0.3">
      <c r="A283" t="s">
        <v>40</v>
      </c>
      <c r="B283">
        <v>2019</v>
      </c>
      <c r="C283" s="1">
        <v>144388309</v>
      </c>
      <c r="D283" s="2">
        <f>IF(mlb_payrolls[[#This Row],[Games]] &gt;0, mlb_payrolls[[#This Row],[Wins]]/mlb_payrolls[[#This Row],[Games]], "")</f>
        <v>0.41975308641975306</v>
      </c>
    </row>
    <row r="284" spans="1:4" x14ac:dyDescent="0.3">
      <c r="A284" t="s">
        <v>34</v>
      </c>
      <c r="B284">
        <v>2021</v>
      </c>
      <c r="C284" s="1">
        <v>144415187</v>
      </c>
      <c r="D284" s="2">
        <f>IF(mlb_payrolls[[#This Row],[Games]] &gt;0, mlb_payrolls[[#This Row],[Wins]]/mlb_payrolls[[#This Row],[Games]], "")</f>
        <v>0.40123456790123457</v>
      </c>
    </row>
    <row r="285" spans="1:4" x14ac:dyDescent="0.3">
      <c r="A285" t="s">
        <v>46</v>
      </c>
      <c r="B285">
        <v>2017</v>
      </c>
      <c r="C285" s="1">
        <v>145256085</v>
      </c>
      <c r="D285" s="2">
        <f>IF(mlb_payrolls[[#This Row],[Games]] &gt;0, mlb_payrolls[[#This Row],[Wins]]/mlb_payrolls[[#This Row],[Games]], "")</f>
        <v>0.51234567901234573</v>
      </c>
    </row>
    <row r="286" spans="1:4" x14ac:dyDescent="0.3">
      <c r="A286" t="s">
        <v>50</v>
      </c>
      <c r="B286">
        <v>2024</v>
      </c>
      <c r="C286" s="1">
        <v>146100965</v>
      </c>
      <c r="D286" s="2">
        <f>IF(mlb_payrolls[[#This Row],[Games]] &gt;0, mlb_payrolls[[#This Row],[Wins]]/mlb_payrolls[[#This Row],[Games]], "")</f>
        <v>0.37654320987654322</v>
      </c>
    </row>
    <row r="287" spans="1:4" x14ac:dyDescent="0.3">
      <c r="A287" t="s">
        <v>74</v>
      </c>
      <c r="B287">
        <v>2019</v>
      </c>
      <c r="C287" s="1">
        <v>146538234</v>
      </c>
      <c r="D287" s="2">
        <f>IF(mlb_payrolls[[#This Row],[Games]] &gt;0, mlb_payrolls[[#This Row],[Wins]]/mlb_payrolls[[#This Row],[Games]], "")</f>
        <v>0.53086419753086422</v>
      </c>
    </row>
    <row r="288" spans="1:4" x14ac:dyDescent="0.3">
      <c r="A288" t="s">
        <v>60</v>
      </c>
      <c r="B288">
        <v>2011</v>
      </c>
      <c r="C288" s="1">
        <v>146648559</v>
      </c>
      <c r="D288" s="2">
        <f>IF(mlb_payrolls[[#This Row],[Games]] &gt;0, mlb_payrolls[[#This Row],[Wins]]/mlb_payrolls[[#This Row],[Games]], "")</f>
        <v>0.53086419753086422</v>
      </c>
    </row>
    <row r="289" spans="1:4" x14ac:dyDescent="0.3">
      <c r="A289" t="s">
        <v>40</v>
      </c>
      <c r="B289">
        <v>2016</v>
      </c>
      <c r="C289" s="1">
        <v>147003780</v>
      </c>
      <c r="D289" s="2">
        <f>IF(mlb_payrolls[[#This Row],[Games]] &gt;0, mlb_payrolls[[#This Row],[Wins]]/mlb_payrolls[[#This Row],[Games]], "")</f>
        <v>0.53086419753086422</v>
      </c>
    </row>
    <row r="290" spans="1:4" x14ac:dyDescent="0.3">
      <c r="A290" t="s">
        <v>74</v>
      </c>
      <c r="B290">
        <v>2016</v>
      </c>
      <c r="C290" s="1">
        <v>147744060</v>
      </c>
      <c r="D290" s="2">
        <f>IF(mlb_payrolls[[#This Row],[Games]] &gt;0, mlb_payrolls[[#This Row],[Wins]]/mlb_payrolls[[#This Row],[Games]], "")</f>
        <v>0.53703703703703709</v>
      </c>
    </row>
    <row r="291" spans="1:4" x14ac:dyDescent="0.3">
      <c r="A291" t="s">
        <v>40</v>
      </c>
      <c r="B291">
        <v>2024</v>
      </c>
      <c r="C291" s="1">
        <v>147930632</v>
      </c>
      <c r="D291" s="2">
        <f>IF(mlb_payrolls[[#This Row],[Games]] &gt;0, mlb_payrolls[[#This Row],[Wins]]/mlb_payrolls[[#This Row],[Games]], "")</f>
        <v>0.52469135802469136</v>
      </c>
    </row>
    <row r="292" spans="1:4" x14ac:dyDescent="0.3">
      <c r="A292" t="s">
        <v>32</v>
      </c>
      <c r="B292">
        <v>2017</v>
      </c>
      <c r="C292" s="1">
        <v>148227822</v>
      </c>
      <c r="D292" s="2">
        <f>IF(mlb_payrolls[[#This Row],[Games]] &gt;0, mlb_payrolls[[#This Row],[Wins]]/mlb_payrolls[[#This Row],[Games]], "")</f>
        <v>0.49382716049382713</v>
      </c>
    </row>
    <row r="293" spans="1:4" x14ac:dyDescent="0.3">
      <c r="A293" t="s">
        <v>68</v>
      </c>
      <c r="B293">
        <v>2016</v>
      </c>
      <c r="C293" s="1">
        <v>148385479</v>
      </c>
      <c r="D293" s="2">
        <f>IF(mlb_payrolls[[#This Row],[Games]] &gt;0, mlb_payrolls[[#This Row],[Wins]]/mlb_payrolls[[#This Row],[Games]], "")</f>
        <v>0.54938271604938271</v>
      </c>
    </row>
    <row r="294" spans="1:4" x14ac:dyDescent="0.3">
      <c r="A294" t="s">
        <v>46</v>
      </c>
      <c r="B294">
        <v>2016</v>
      </c>
      <c r="C294" s="1">
        <v>149355870</v>
      </c>
      <c r="D294" s="2">
        <f>IF(mlb_payrolls[[#This Row],[Games]] &gt;0, mlb_payrolls[[#This Row],[Wins]]/mlb_payrolls[[#This Row],[Games]], "")</f>
        <v>0.53086419753086422</v>
      </c>
    </row>
    <row r="295" spans="1:4" x14ac:dyDescent="0.3">
      <c r="A295" t="s">
        <v>64</v>
      </c>
      <c r="B295">
        <v>2022</v>
      </c>
      <c r="C295" s="1">
        <v>150037446</v>
      </c>
      <c r="D295" s="2">
        <f>IF(mlb_payrolls[[#This Row],[Games]] &gt;0, mlb_payrolls[[#This Row],[Wins]]/mlb_payrolls[[#This Row],[Games]], "")</f>
        <v>0.41975308641975306</v>
      </c>
    </row>
    <row r="296" spans="1:4" x14ac:dyDescent="0.3">
      <c r="A296" t="s">
        <v>68</v>
      </c>
      <c r="B296">
        <v>2021</v>
      </c>
      <c r="C296" s="1">
        <v>150140253</v>
      </c>
      <c r="D296" s="2">
        <f>IF(mlb_payrolls[[#This Row],[Games]] &gt;0, mlb_payrolls[[#This Row],[Wins]]/mlb_payrolls[[#This Row],[Games]], "")</f>
        <v>0.56172839506172845</v>
      </c>
    </row>
    <row r="297" spans="1:4" x14ac:dyDescent="0.3">
      <c r="A297" t="s">
        <v>74</v>
      </c>
      <c r="B297">
        <v>2018</v>
      </c>
      <c r="C297" s="1">
        <v>150187987</v>
      </c>
      <c r="D297" s="2">
        <f>IF(mlb_payrolls[[#This Row],[Games]] &gt;0, mlb_payrolls[[#This Row],[Wins]]/mlb_payrolls[[#This Row],[Games]], "")</f>
        <v>0.47530864197530864</v>
      </c>
    </row>
    <row r="298" spans="1:4" x14ac:dyDescent="0.3">
      <c r="A298" t="s">
        <v>38</v>
      </c>
      <c r="B298">
        <v>2022</v>
      </c>
      <c r="C298" s="1">
        <v>150363491</v>
      </c>
      <c r="D298" s="2">
        <f>IF(mlb_payrolls[[#This Row],[Games]] &gt;0, mlb_payrolls[[#This Row],[Wins]]/mlb_payrolls[[#This Row],[Games]], "")</f>
        <v>0.48148148148148145</v>
      </c>
    </row>
    <row r="299" spans="1:4" x14ac:dyDescent="0.3">
      <c r="A299" t="s">
        <v>62</v>
      </c>
      <c r="B299">
        <v>2022</v>
      </c>
      <c r="C299" s="1">
        <v>150580017</v>
      </c>
      <c r="D299" s="2">
        <f>IF(mlb_payrolls[[#This Row],[Games]] &gt;0, mlb_payrolls[[#This Row],[Wins]]/mlb_payrolls[[#This Row],[Games]], "")</f>
        <v>0.4567901234567901</v>
      </c>
    </row>
    <row r="300" spans="1:4" x14ac:dyDescent="0.3">
      <c r="A300" t="s">
        <v>68</v>
      </c>
      <c r="B300">
        <v>2018</v>
      </c>
      <c r="C300" s="1">
        <v>150946147</v>
      </c>
      <c r="D300" s="2">
        <f>IF(mlb_payrolls[[#This Row],[Games]] &gt;0, mlb_payrolls[[#This Row],[Wins]]/mlb_payrolls[[#This Row],[Games]], "")</f>
        <v>0.45061728395061729</v>
      </c>
    </row>
    <row r="301" spans="1:4" x14ac:dyDescent="0.3">
      <c r="A301" t="s">
        <v>58</v>
      </c>
      <c r="B301">
        <v>2021</v>
      </c>
      <c r="C301" s="1">
        <v>151393755</v>
      </c>
      <c r="D301" s="2">
        <f>IF(mlb_payrolls[[#This Row],[Games]] &gt;0, mlb_payrolls[[#This Row],[Wins]]/mlb_payrolls[[#This Row],[Games]], "")</f>
        <v>0.54658385093167705</v>
      </c>
    </row>
    <row r="302" spans="1:4" x14ac:dyDescent="0.3">
      <c r="A302" t="s">
        <v>46</v>
      </c>
      <c r="B302">
        <v>2021</v>
      </c>
      <c r="C302" s="1">
        <v>151469994</v>
      </c>
      <c r="D302" s="2">
        <f>IF(mlb_payrolls[[#This Row],[Games]] &gt;0, mlb_payrolls[[#This Row],[Wins]]/mlb_payrolls[[#This Row],[Games]], "")</f>
        <v>0.55555555555555558</v>
      </c>
    </row>
    <row r="303" spans="1:4" x14ac:dyDescent="0.3">
      <c r="A303" t="s">
        <v>46</v>
      </c>
      <c r="B303">
        <v>2023</v>
      </c>
      <c r="C303" s="1">
        <v>153793028</v>
      </c>
      <c r="D303" s="2">
        <f>IF(mlb_payrolls[[#This Row],[Games]] &gt;0, mlb_payrolls[[#This Row],[Wins]]/mlb_payrolls[[#This Row],[Games]], "")</f>
        <v>0.43827160493827161</v>
      </c>
    </row>
    <row r="304" spans="1:4" x14ac:dyDescent="0.3">
      <c r="A304" t="s">
        <v>26</v>
      </c>
      <c r="B304">
        <v>2016</v>
      </c>
      <c r="C304" s="1">
        <v>154148832</v>
      </c>
      <c r="D304" s="2">
        <f>IF(mlb_payrolls[[#This Row],[Games]] &gt;0, mlb_payrolls[[#This Row],[Wins]]/mlb_payrolls[[#This Row],[Games]], "")</f>
        <v>0.54938271604938271</v>
      </c>
    </row>
    <row r="305" spans="1:4" x14ac:dyDescent="0.3">
      <c r="A305" t="s">
        <v>46</v>
      </c>
      <c r="B305">
        <v>2022</v>
      </c>
      <c r="C305" s="1">
        <v>155378325</v>
      </c>
      <c r="D305" s="2">
        <f>IF(mlb_payrolls[[#This Row],[Games]] &gt;0, mlb_payrolls[[#This Row],[Wins]]/mlb_payrolls[[#This Row],[Games]], "")</f>
        <v>0.57407407407407407</v>
      </c>
    </row>
    <row r="306" spans="1:4" x14ac:dyDescent="0.3">
      <c r="A306" t="s">
        <v>50</v>
      </c>
      <c r="B306">
        <v>2019</v>
      </c>
      <c r="C306" s="1">
        <v>155403513</v>
      </c>
      <c r="D306" s="2">
        <f>IF(mlb_payrolls[[#This Row],[Games]] &gt;0, mlb_payrolls[[#This Row],[Wins]]/mlb_payrolls[[#This Row],[Games]], "")</f>
        <v>0.43827160493827161</v>
      </c>
    </row>
    <row r="307" spans="1:4" x14ac:dyDescent="0.3">
      <c r="A307" t="s">
        <v>38</v>
      </c>
      <c r="B307">
        <v>2023</v>
      </c>
      <c r="C307" s="1">
        <v>155999708</v>
      </c>
      <c r="D307" s="2">
        <f>IF(mlb_payrolls[[#This Row],[Games]] &gt;0, mlb_payrolls[[#This Row],[Wins]]/mlb_payrolls[[#This Row],[Games]], "")</f>
        <v>0.53703703703703709</v>
      </c>
    </row>
    <row r="308" spans="1:4" x14ac:dyDescent="0.3">
      <c r="A308" t="s">
        <v>60</v>
      </c>
      <c r="B308">
        <v>2012</v>
      </c>
      <c r="C308" s="1">
        <v>157168625</v>
      </c>
      <c r="D308" s="2">
        <f>IF(mlb_payrolls[[#This Row],[Games]] &gt;0, mlb_payrolls[[#This Row],[Wins]]/mlb_payrolls[[#This Row],[Games]], "")</f>
        <v>0.54938271604938271</v>
      </c>
    </row>
    <row r="309" spans="1:4" x14ac:dyDescent="0.3">
      <c r="A309" t="s">
        <v>20</v>
      </c>
      <c r="B309">
        <v>2013</v>
      </c>
      <c r="C309" s="1">
        <v>157332966</v>
      </c>
      <c r="D309" s="2">
        <f>IF(mlb_payrolls[[#This Row],[Games]] &gt;0, mlb_payrolls[[#This Row],[Wins]]/mlb_payrolls[[#This Row],[Games]], "")</f>
        <v>0.57407407407407407</v>
      </c>
    </row>
    <row r="310" spans="1:4" x14ac:dyDescent="0.3">
      <c r="A310" t="s">
        <v>60</v>
      </c>
      <c r="B310">
        <v>2019</v>
      </c>
      <c r="C310" s="1">
        <v>157999465</v>
      </c>
      <c r="D310" s="2">
        <f>IF(mlb_payrolls[[#This Row],[Games]] &gt;0, mlb_payrolls[[#This Row],[Wins]]/mlb_payrolls[[#This Row],[Games]], "")</f>
        <v>0.44444444444444442</v>
      </c>
    </row>
    <row r="311" spans="1:4" x14ac:dyDescent="0.3">
      <c r="A311" t="s">
        <v>56</v>
      </c>
      <c r="B311">
        <v>2019</v>
      </c>
      <c r="C311" s="1">
        <v>158976752</v>
      </c>
      <c r="D311" s="2">
        <f>IF(mlb_payrolls[[#This Row],[Games]] &gt;0, mlb_payrolls[[#This Row],[Wins]]/mlb_payrolls[[#This Row],[Games]], "")</f>
        <v>0.5</v>
      </c>
    </row>
    <row r="312" spans="1:4" x14ac:dyDescent="0.3">
      <c r="A312" t="s">
        <v>40</v>
      </c>
      <c r="B312">
        <v>2018</v>
      </c>
      <c r="C312" s="1">
        <v>160243827</v>
      </c>
      <c r="D312" s="2">
        <f>IF(mlb_payrolls[[#This Row],[Games]] &gt;0, mlb_payrolls[[#This Row],[Wins]]/mlb_payrolls[[#This Row],[Games]], "")</f>
        <v>0.54938271604938271</v>
      </c>
    </row>
    <row r="313" spans="1:4" x14ac:dyDescent="0.3">
      <c r="A313" t="s">
        <v>54</v>
      </c>
      <c r="B313">
        <v>2014</v>
      </c>
      <c r="C313" s="1">
        <v>160336782</v>
      </c>
      <c r="D313" s="2">
        <f>IF(mlb_payrolls[[#This Row],[Games]] &gt;0, mlb_payrolls[[#This Row],[Wins]]/mlb_payrolls[[#This Row],[Games]], "")</f>
        <v>0.54320987654320985</v>
      </c>
    </row>
    <row r="314" spans="1:4" x14ac:dyDescent="0.3">
      <c r="A314" t="s">
        <v>40</v>
      </c>
      <c r="B314">
        <v>2017</v>
      </c>
      <c r="C314" s="1">
        <v>160741810</v>
      </c>
      <c r="D314" s="2">
        <f>IF(mlb_payrolls[[#This Row],[Games]] &gt;0, mlb_payrolls[[#This Row],[Wins]]/mlb_payrolls[[#This Row],[Games]], "")</f>
        <v>0.48148148148148145</v>
      </c>
    </row>
    <row r="315" spans="1:4" x14ac:dyDescent="0.3">
      <c r="A315" t="s">
        <v>54</v>
      </c>
      <c r="B315">
        <v>2022</v>
      </c>
      <c r="C315" s="1">
        <v>161717317</v>
      </c>
      <c r="D315" s="2">
        <f>IF(mlb_payrolls[[#This Row],[Games]] &gt;0, mlb_payrolls[[#This Row],[Wins]]/mlb_payrolls[[#This Row],[Games]], "")</f>
        <v>0.5</v>
      </c>
    </row>
    <row r="316" spans="1:4" x14ac:dyDescent="0.3">
      <c r="A316" t="s">
        <v>20</v>
      </c>
      <c r="B316">
        <v>2015</v>
      </c>
      <c r="C316" s="1">
        <v>162160921</v>
      </c>
      <c r="D316" s="2">
        <f>IF(mlb_payrolls[[#This Row],[Games]] &gt;0, mlb_payrolls[[#This Row],[Wins]]/mlb_payrolls[[#This Row],[Games]], "")</f>
        <v>0.45962732919254656</v>
      </c>
    </row>
    <row r="317" spans="1:4" x14ac:dyDescent="0.3">
      <c r="A317" t="s">
        <v>46</v>
      </c>
      <c r="B317">
        <v>2018</v>
      </c>
      <c r="C317" s="1">
        <v>162334311</v>
      </c>
      <c r="D317" s="2">
        <f>IF(mlb_payrolls[[#This Row],[Games]] &gt;0, mlb_payrolls[[#This Row],[Wins]]/mlb_payrolls[[#This Row],[Games]], "")</f>
        <v>0.54320987654320985</v>
      </c>
    </row>
    <row r="318" spans="1:4" x14ac:dyDescent="0.3">
      <c r="A318" t="s">
        <v>70</v>
      </c>
      <c r="B318">
        <v>2023</v>
      </c>
      <c r="C318" s="1">
        <v>162863836</v>
      </c>
      <c r="D318" s="2">
        <f>IF(mlb_payrolls[[#This Row],[Games]] &gt;0, mlb_payrolls[[#This Row],[Wins]]/mlb_payrolls[[#This Row],[Games]], "")</f>
        <v>0.37654320987654322</v>
      </c>
    </row>
    <row r="319" spans="1:4" x14ac:dyDescent="0.3">
      <c r="A319" t="s">
        <v>56</v>
      </c>
      <c r="B319">
        <v>2013</v>
      </c>
      <c r="C319" s="1">
        <v>163536898</v>
      </c>
      <c r="D319" s="2">
        <f>IF(mlb_payrolls[[#This Row],[Games]] &gt;0, mlb_payrolls[[#This Row],[Wins]]/mlb_payrolls[[#This Row],[Games]], "")</f>
        <v>0.45061728395061729</v>
      </c>
    </row>
    <row r="320" spans="1:4" x14ac:dyDescent="0.3">
      <c r="A320" t="s">
        <v>66</v>
      </c>
      <c r="B320">
        <v>2018</v>
      </c>
      <c r="C320" s="1">
        <v>163724216</v>
      </c>
      <c r="D320" s="2">
        <f>IF(mlb_payrolls[[#This Row],[Games]] &gt;0, mlb_payrolls[[#This Row],[Wins]]/mlb_payrolls[[#This Row],[Games]], "")</f>
        <v>0.63580246913580252</v>
      </c>
    </row>
    <row r="321" spans="1:4" x14ac:dyDescent="0.3">
      <c r="A321" t="s">
        <v>60</v>
      </c>
      <c r="B321">
        <v>2014</v>
      </c>
      <c r="C321" s="1">
        <v>165244781</v>
      </c>
      <c r="D321" s="2">
        <f>IF(mlb_payrolls[[#This Row],[Games]] &gt;0, mlb_payrolls[[#This Row],[Wins]]/mlb_payrolls[[#This Row],[Games]], "")</f>
        <v>0.60493827160493829</v>
      </c>
    </row>
    <row r="322" spans="1:4" x14ac:dyDescent="0.3">
      <c r="A322" t="s">
        <v>34</v>
      </c>
      <c r="B322">
        <v>2015</v>
      </c>
      <c r="C322" s="1">
        <v>165655095</v>
      </c>
      <c r="D322" s="2">
        <f>IF(mlb_payrolls[[#This Row],[Games]] &gt;0, mlb_payrolls[[#This Row],[Wins]]/mlb_payrolls[[#This Row],[Games]], "")</f>
        <v>0.51234567901234573</v>
      </c>
    </row>
    <row r="323" spans="1:4" x14ac:dyDescent="0.3">
      <c r="A323" t="s">
        <v>60</v>
      </c>
      <c r="B323">
        <v>2017</v>
      </c>
      <c r="C323" s="1">
        <v>166161209</v>
      </c>
      <c r="D323" s="2">
        <f>IF(mlb_payrolls[[#This Row],[Games]] &gt;0, mlb_payrolls[[#This Row],[Wins]]/mlb_payrolls[[#This Row],[Games]], "")</f>
        <v>0.49382716049382713</v>
      </c>
    </row>
    <row r="324" spans="1:4" x14ac:dyDescent="0.3">
      <c r="A324" t="s">
        <v>66</v>
      </c>
      <c r="B324">
        <v>2019</v>
      </c>
      <c r="C324" s="1">
        <v>167138259</v>
      </c>
      <c r="D324" s="2">
        <f>IF(mlb_payrolls[[#This Row],[Games]] &gt;0, mlb_payrolls[[#This Row],[Wins]]/mlb_payrolls[[#This Row],[Games]], "")</f>
        <v>0.66049382716049387</v>
      </c>
    </row>
    <row r="325" spans="1:4" x14ac:dyDescent="0.3">
      <c r="A325" t="s">
        <v>56</v>
      </c>
      <c r="B325">
        <v>2011</v>
      </c>
      <c r="C325" s="1">
        <v>170018182</v>
      </c>
      <c r="D325" s="2">
        <f>IF(mlb_payrolls[[#This Row],[Games]] &gt;0, mlb_payrolls[[#This Row],[Wins]]/mlb_payrolls[[#This Row],[Games]], "")</f>
        <v>0.62962962962962965</v>
      </c>
    </row>
    <row r="326" spans="1:4" x14ac:dyDescent="0.3">
      <c r="A326" t="s">
        <v>48</v>
      </c>
      <c r="B326">
        <v>2014</v>
      </c>
      <c r="C326" s="1">
        <v>170095758</v>
      </c>
      <c r="D326" s="2">
        <f>IF(mlb_payrolls[[#This Row],[Games]] &gt;0, mlb_payrolls[[#This Row],[Wins]]/mlb_payrolls[[#This Row],[Games]], "")</f>
        <v>0.43827160493827161</v>
      </c>
    </row>
    <row r="327" spans="1:4" x14ac:dyDescent="0.3">
      <c r="A327" t="s">
        <v>48</v>
      </c>
      <c r="B327">
        <v>2011</v>
      </c>
      <c r="C327" s="1">
        <v>170490761</v>
      </c>
      <c r="D327" s="2">
        <f>IF(mlb_payrolls[[#This Row],[Games]] &gt;0, mlb_payrolls[[#This Row],[Wins]]/mlb_payrolls[[#This Row],[Games]], "")</f>
        <v>0.55555555555555558</v>
      </c>
    </row>
    <row r="328" spans="1:4" x14ac:dyDescent="0.3">
      <c r="A328" t="s">
        <v>42</v>
      </c>
      <c r="B328">
        <v>2024</v>
      </c>
      <c r="C328" s="1">
        <v>170855090</v>
      </c>
      <c r="D328" s="2">
        <f>IF(mlb_payrolls[[#This Row],[Games]] &gt;0, mlb_payrolls[[#This Row],[Wins]]/mlb_payrolls[[#This Row],[Games]], "")</f>
        <v>0.57407407407407407</v>
      </c>
    </row>
    <row r="329" spans="1:4" x14ac:dyDescent="0.3">
      <c r="A329" t="s">
        <v>50</v>
      </c>
      <c r="B329">
        <v>2023</v>
      </c>
      <c r="C329" s="1">
        <v>171026607</v>
      </c>
      <c r="D329" s="2">
        <f>IF(mlb_payrolls[[#This Row],[Games]] &gt;0, mlb_payrolls[[#This Row],[Wins]]/mlb_payrolls[[#This Row],[Games]], "")</f>
        <v>0.36419753086419754</v>
      </c>
    </row>
    <row r="330" spans="1:4" x14ac:dyDescent="0.3">
      <c r="A330" t="s">
        <v>54</v>
      </c>
      <c r="B330">
        <v>2021</v>
      </c>
      <c r="C330" s="1">
        <v>171191545</v>
      </c>
      <c r="D330" s="2">
        <f>IF(mlb_payrolls[[#This Row],[Games]] &gt;0, mlb_payrolls[[#This Row],[Wins]]/mlb_payrolls[[#This Row],[Games]], "")</f>
        <v>0.66049382716049387</v>
      </c>
    </row>
    <row r="331" spans="1:4" x14ac:dyDescent="0.3">
      <c r="A331" t="s">
        <v>48</v>
      </c>
      <c r="B331">
        <v>2013</v>
      </c>
      <c r="C331" s="1">
        <v>172084264</v>
      </c>
      <c r="D331" s="2">
        <f>IF(mlb_payrolls[[#This Row],[Games]] &gt;0, mlb_payrolls[[#This Row],[Wins]]/mlb_payrolls[[#This Row],[Games]], "")</f>
        <v>0.59876543209876543</v>
      </c>
    </row>
    <row r="332" spans="1:4" x14ac:dyDescent="0.3">
      <c r="A332" t="s">
        <v>62</v>
      </c>
      <c r="B332">
        <v>2017</v>
      </c>
      <c r="C332" s="1">
        <v>172092536</v>
      </c>
      <c r="D332" s="2">
        <f>IF(mlb_payrolls[[#This Row],[Games]] &gt;0, mlb_payrolls[[#This Row],[Wins]]/mlb_payrolls[[#This Row],[Games]], "")</f>
        <v>0.5679012345679012</v>
      </c>
    </row>
    <row r="333" spans="1:4" x14ac:dyDescent="0.3">
      <c r="A333" t="s">
        <v>20</v>
      </c>
      <c r="B333">
        <v>2014</v>
      </c>
      <c r="C333" s="1">
        <v>172143106</v>
      </c>
      <c r="D333" s="2">
        <f>IF(mlb_payrolls[[#This Row],[Games]] &gt;0, mlb_payrolls[[#This Row],[Wins]]/mlb_payrolls[[#This Row],[Games]], "")</f>
        <v>0.55555555555555558</v>
      </c>
    </row>
    <row r="334" spans="1:4" x14ac:dyDescent="0.3">
      <c r="A334" t="s">
        <v>60</v>
      </c>
      <c r="B334">
        <v>2024</v>
      </c>
      <c r="C334" s="1">
        <v>172189987</v>
      </c>
      <c r="D334" s="2">
        <f>IF(mlb_payrolls[[#This Row],[Games]] &gt;0, mlb_payrolls[[#This Row],[Wins]]/mlb_payrolls[[#This Row],[Games]], "")</f>
        <v>0.3888888888888889</v>
      </c>
    </row>
    <row r="335" spans="1:4" x14ac:dyDescent="0.3">
      <c r="A335" t="s">
        <v>34</v>
      </c>
      <c r="B335">
        <v>2019</v>
      </c>
      <c r="C335" s="1">
        <v>172307808</v>
      </c>
      <c r="D335" s="2">
        <f>IF(mlb_payrolls[[#This Row],[Games]] &gt;0, mlb_payrolls[[#This Row],[Wins]]/mlb_payrolls[[#This Row],[Games]], "")</f>
        <v>0.57407407407407407</v>
      </c>
    </row>
    <row r="336" spans="1:4" x14ac:dyDescent="0.3">
      <c r="A336" t="s">
        <v>44</v>
      </c>
      <c r="B336">
        <v>2024</v>
      </c>
      <c r="C336" s="1">
        <v>172806829</v>
      </c>
      <c r="D336" s="2">
        <f>IF(mlb_payrolls[[#This Row],[Games]] &gt;0, mlb_payrolls[[#This Row],[Wins]]/mlb_payrolls[[#This Row],[Games]], "")</f>
        <v>0.54938271604938271</v>
      </c>
    </row>
    <row r="337" spans="1:4" x14ac:dyDescent="0.3">
      <c r="A337" t="s">
        <v>48</v>
      </c>
      <c r="B337">
        <v>2012</v>
      </c>
      <c r="C337" s="1">
        <v>173216551</v>
      </c>
      <c r="D337" s="2">
        <f>IF(mlb_payrolls[[#This Row],[Games]] &gt;0, mlb_payrolls[[#This Row],[Wins]]/mlb_payrolls[[#This Row],[Games]], "")</f>
        <v>0.42592592592592593</v>
      </c>
    </row>
    <row r="338" spans="1:4" x14ac:dyDescent="0.3">
      <c r="A338" t="s">
        <v>46</v>
      </c>
      <c r="B338">
        <v>2019</v>
      </c>
      <c r="C338" s="1">
        <v>173544423</v>
      </c>
      <c r="D338" s="2">
        <f>IF(mlb_payrolls[[#This Row],[Games]] &gt;0, mlb_payrolls[[#This Row],[Wins]]/mlb_payrolls[[#This Row],[Games]], "")</f>
        <v>0.56172839506172845</v>
      </c>
    </row>
    <row r="339" spans="1:4" x14ac:dyDescent="0.3">
      <c r="A339" t="s">
        <v>60</v>
      </c>
      <c r="B339">
        <v>2018</v>
      </c>
      <c r="C339" s="1">
        <v>173717599</v>
      </c>
      <c r="D339" s="2">
        <f>IF(mlb_payrolls[[#This Row],[Games]] &gt;0, mlb_payrolls[[#This Row],[Wins]]/mlb_payrolls[[#This Row],[Games]], "")</f>
        <v>0.49382716049382713</v>
      </c>
    </row>
    <row r="340" spans="1:4" x14ac:dyDescent="0.3">
      <c r="A340" t="s">
        <v>26</v>
      </c>
      <c r="B340">
        <v>2017</v>
      </c>
      <c r="C340" s="1">
        <v>174129785</v>
      </c>
      <c r="D340" s="2">
        <f>IF(mlb_payrolls[[#This Row],[Games]] &gt;0, mlb_payrolls[[#This Row],[Wins]]/mlb_payrolls[[#This Row],[Games]], "")</f>
        <v>0.46296296296296297</v>
      </c>
    </row>
    <row r="341" spans="1:4" x14ac:dyDescent="0.3">
      <c r="A341" t="s">
        <v>60</v>
      </c>
      <c r="B341">
        <v>2016</v>
      </c>
      <c r="C341" s="1">
        <v>174290373</v>
      </c>
      <c r="D341" s="2">
        <f>IF(mlb_payrolls[[#This Row],[Games]] &gt;0, mlb_payrolls[[#This Row],[Wins]]/mlb_payrolls[[#This Row],[Games]], "")</f>
        <v>0.4567901234567901</v>
      </c>
    </row>
    <row r="342" spans="1:4" x14ac:dyDescent="0.3">
      <c r="A342" t="s">
        <v>56</v>
      </c>
      <c r="B342">
        <v>2014</v>
      </c>
      <c r="C342" s="1">
        <v>175061605</v>
      </c>
      <c r="D342" s="2">
        <f>IF(mlb_payrolls[[#This Row],[Games]] &gt;0, mlb_payrolls[[#This Row],[Wins]]/mlb_payrolls[[#This Row],[Games]], "")</f>
        <v>0.45061728395061729</v>
      </c>
    </row>
    <row r="343" spans="1:4" x14ac:dyDescent="0.3">
      <c r="A343" t="s">
        <v>68</v>
      </c>
      <c r="B343">
        <v>2017</v>
      </c>
      <c r="C343" s="1">
        <v>175617487</v>
      </c>
      <c r="D343" s="2">
        <f>IF(mlb_payrolls[[#This Row],[Games]] &gt;0, mlb_payrolls[[#This Row],[Wins]]/mlb_payrolls[[#This Row],[Games]], "")</f>
        <v>0.46913580246913578</v>
      </c>
    </row>
    <row r="344" spans="1:4" x14ac:dyDescent="0.3">
      <c r="A344" t="s">
        <v>46</v>
      </c>
      <c r="B344">
        <v>2024</v>
      </c>
      <c r="C344" s="1">
        <v>175932759</v>
      </c>
      <c r="D344" s="2">
        <f>IF(mlb_payrolls[[#This Row],[Games]] &gt;0, mlb_payrolls[[#This Row],[Wins]]/mlb_payrolls[[#This Row],[Games]], "")</f>
        <v>0.51234567901234573</v>
      </c>
    </row>
    <row r="345" spans="1:4" x14ac:dyDescent="0.3">
      <c r="A345" t="s">
        <v>68</v>
      </c>
      <c r="B345">
        <v>2022</v>
      </c>
      <c r="C345" s="1">
        <v>177001966</v>
      </c>
      <c r="D345" s="2">
        <f>IF(mlb_payrolls[[#This Row],[Games]] &gt;0, mlb_payrolls[[#This Row],[Wins]]/mlb_payrolls[[#This Row],[Games]], "")</f>
        <v>0.5679012345679012</v>
      </c>
    </row>
    <row r="346" spans="1:4" x14ac:dyDescent="0.3">
      <c r="A346" t="s">
        <v>58</v>
      </c>
      <c r="B346">
        <v>2022</v>
      </c>
      <c r="C346" s="1">
        <v>177138888</v>
      </c>
      <c r="D346" s="2">
        <f>IF(mlb_payrolls[[#This Row],[Games]] &gt;0, mlb_payrolls[[#This Row],[Wins]]/mlb_payrolls[[#This Row],[Games]], "")</f>
        <v>0.62345679012345678</v>
      </c>
    </row>
    <row r="347" spans="1:4" x14ac:dyDescent="0.3">
      <c r="A347" t="s">
        <v>60</v>
      </c>
      <c r="B347">
        <v>2022</v>
      </c>
      <c r="C347" s="1">
        <v>177727811</v>
      </c>
      <c r="D347" s="2">
        <f>IF(mlb_payrolls[[#This Row],[Games]] &gt;0, mlb_payrolls[[#This Row],[Wins]]/mlb_payrolls[[#This Row],[Games]], "")</f>
        <v>0.45061728395061729</v>
      </c>
    </row>
    <row r="348" spans="1:4" x14ac:dyDescent="0.3">
      <c r="A348" t="s">
        <v>56</v>
      </c>
      <c r="B348">
        <v>2012</v>
      </c>
      <c r="C348" s="1">
        <v>177862491</v>
      </c>
      <c r="D348" s="2">
        <f>IF(mlb_payrolls[[#This Row],[Games]] &gt;0, mlb_payrolls[[#This Row],[Wins]]/mlb_payrolls[[#This Row],[Games]], "")</f>
        <v>0.5</v>
      </c>
    </row>
    <row r="349" spans="1:4" x14ac:dyDescent="0.3">
      <c r="A349" t="s">
        <v>54</v>
      </c>
      <c r="B349">
        <v>2019</v>
      </c>
      <c r="C349" s="1">
        <v>178054110</v>
      </c>
      <c r="D349" s="2">
        <f>IF(mlb_payrolls[[#This Row],[Games]] &gt;0, mlb_payrolls[[#This Row],[Wins]]/mlb_payrolls[[#This Row],[Games]], "")</f>
        <v>0.47530864197530864</v>
      </c>
    </row>
    <row r="350" spans="1:4" x14ac:dyDescent="0.3">
      <c r="A350" t="s">
        <v>54</v>
      </c>
      <c r="B350">
        <v>2016</v>
      </c>
      <c r="C350" s="1">
        <v>178834344</v>
      </c>
      <c r="D350" s="2">
        <f>IF(mlb_payrolls[[#This Row],[Games]] &gt;0, mlb_payrolls[[#This Row],[Wins]]/mlb_payrolls[[#This Row],[Games]], "")</f>
        <v>0.53703703703703709</v>
      </c>
    </row>
    <row r="351" spans="1:4" x14ac:dyDescent="0.3">
      <c r="A351" t="s">
        <v>42</v>
      </c>
      <c r="B351">
        <v>2021</v>
      </c>
      <c r="C351" s="1">
        <v>179767346</v>
      </c>
      <c r="D351" s="2">
        <f>IF(mlb_payrolls[[#This Row],[Games]] &gt;0, mlb_payrolls[[#This Row],[Wins]]/mlb_payrolls[[#This Row],[Games]], "")</f>
        <v>0.48765432098765432</v>
      </c>
    </row>
    <row r="352" spans="1:4" x14ac:dyDescent="0.3">
      <c r="A352" t="s">
        <v>72</v>
      </c>
      <c r="B352">
        <v>2018</v>
      </c>
      <c r="C352" s="1">
        <v>180098151</v>
      </c>
      <c r="D352" s="2">
        <f>IF(mlb_payrolls[[#This Row],[Games]] &gt;0, mlb_payrolls[[#This Row],[Wins]]/mlb_payrolls[[#This Row],[Games]], "")</f>
        <v>0.61728395061728392</v>
      </c>
    </row>
    <row r="353" spans="1:4" x14ac:dyDescent="0.3">
      <c r="A353" t="s">
        <v>54</v>
      </c>
      <c r="B353">
        <v>2015</v>
      </c>
      <c r="C353" s="1">
        <v>180163630</v>
      </c>
      <c r="D353" s="2">
        <f>IF(mlb_payrolls[[#This Row],[Games]] &gt;0, mlb_payrolls[[#This Row],[Wins]]/mlb_payrolls[[#This Row],[Games]], "")</f>
        <v>0.51851851851851849</v>
      </c>
    </row>
    <row r="354" spans="1:4" x14ac:dyDescent="0.3">
      <c r="A354" t="s">
        <v>48</v>
      </c>
      <c r="B354">
        <v>2023</v>
      </c>
      <c r="C354" s="1">
        <v>180926796</v>
      </c>
      <c r="D354" s="2">
        <f>IF(mlb_payrolls[[#This Row],[Games]] &gt;0, mlb_payrolls[[#This Row],[Wins]]/mlb_payrolls[[#This Row],[Games]], "")</f>
        <v>0.48148148148148145</v>
      </c>
    </row>
    <row r="355" spans="1:4" x14ac:dyDescent="0.3">
      <c r="A355" t="s">
        <v>34</v>
      </c>
      <c r="B355">
        <v>2018</v>
      </c>
      <c r="C355" s="1">
        <v>181382609</v>
      </c>
      <c r="D355" s="2">
        <f>IF(mlb_payrolls[[#This Row],[Games]] &gt;0, mlb_payrolls[[#This Row],[Wins]]/mlb_payrolls[[#This Row],[Games]], "")</f>
        <v>0.50617283950617287</v>
      </c>
    </row>
    <row r="356" spans="1:4" x14ac:dyDescent="0.3">
      <c r="A356" t="s">
        <v>34</v>
      </c>
      <c r="B356">
        <v>2017</v>
      </c>
      <c r="C356" s="1">
        <v>182238854</v>
      </c>
      <c r="D356" s="2">
        <f>IF(mlb_payrolls[[#This Row],[Games]] &gt;0, mlb_payrolls[[#This Row],[Wins]]/mlb_payrolls[[#This Row],[Games]], "")</f>
        <v>0.59876543209876543</v>
      </c>
    </row>
    <row r="357" spans="1:4" x14ac:dyDescent="0.3">
      <c r="A357" t="s">
        <v>60</v>
      </c>
      <c r="B357">
        <v>2021</v>
      </c>
      <c r="C357" s="1">
        <v>182749560</v>
      </c>
      <c r="D357" s="2">
        <f>IF(mlb_payrolls[[#This Row],[Games]] &gt;0, mlb_payrolls[[#This Row],[Wins]]/mlb_payrolls[[#This Row],[Games]], "")</f>
        <v>0.47530864197530864</v>
      </c>
    </row>
    <row r="358" spans="1:4" x14ac:dyDescent="0.3">
      <c r="A358" t="s">
        <v>48</v>
      </c>
      <c r="B358">
        <v>2015</v>
      </c>
      <c r="C358" s="1">
        <v>183481478</v>
      </c>
      <c r="D358" s="2">
        <f>IF(mlb_payrolls[[#This Row],[Games]] &gt;0, mlb_payrolls[[#This Row],[Wins]]/mlb_payrolls[[#This Row],[Games]], "")</f>
        <v>0.48148148148148145</v>
      </c>
    </row>
    <row r="359" spans="1:4" x14ac:dyDescent="0.3">
      <c r="A359" t="s">
        <v>66</v>
      </c>
      <c r="B359">
        <v>2022</v>
      </c>
      <c r="C359" s="1">
        <v>183791796</v>
      </c>
      <c r="D359" s="2">
        <f>IF(mlb_payrolls[[#This Row],[Games]] &gt;0, mlb_payrolls[[#This Row],[Wins]]/mlb_payrolls[[#This Row],[Games]], "")</f>
        <v>0.65432098765432101</v>
      </c>
    </row>
    <row r="360" spans="1:4" x14ac:dyDescent="0.3">
      <c r="A360" t="s">
        <v>48</v>
      </c>
      <c r="B360">
        <v>2021</v>
      </c>
      <c r="C360" s="1">
        <v>186718068</v>
      </c>
      <c r="D360" s="2">
        <f>IF(mlb_payrolls[[#This Row],[Games]] &gt;0, mlb_payrolls[[#This Row],[Wins]]/mlb_payrolls[[#This Row],[Games]], "")</f>
        <v>0.5679012345679012</v>
      </c>
    </row>
    <row r="361" spans="1:4" x14ac:dyDescent="0.3">
      <c r="A361" t="s">
        <v>62</v>
      </c>
      <c r="B361">
        <v>2016</v>
      </c>
      <c r="C361" s="1">
        <v>186772494</v>
      </c>
      <c r="D361" s="2">
        <f>IF(mlb_payrolls[[#This Row],[Games]] &gt;0, mlb_payrolls[[#This Row],[Wins]]/mlb_payrolls[[#This Row],[Games]], "")</f>
        <v>0.63975155279503104</v>
      </c>
    </row>
    <row r="362" spans="1:4" x14ac:dyDescent="0.3">
      <c r="A362" t="s">
        <v>54</v>
      </c>
      <c r="B362">
        <v>2023</v>
      </c>
      <c r="C362" s="1">
        <v>187398165</v>
      </c>
      <c r="D362" s="2">
        <f>IF(mlb_payrolls[[#This Row],[Games]] &gt;0, mlb_payrolls[[#This Row],[Wins]]/mlb_payrolls[[#This Row],[Games]], "")</f>
        <v>0.48765432098765432</v>
      </c>
    </row>
    <row r="363" spans="1:4" x14ac:dyDescent="0.3">
      <c r="A363" t="s">
        <v>20</v>
      </c>
      <c r="B363">
        <v>2017</v>
      </c>
      <c r="C363" s="1">
        <v>188028874</v>
      </c>
      <c r="D363" s="2">
        <f>IF(mlb_payrolls[[#This Row],[Games]] &gt;0, mlb_payrolls[[#This Row],[Wins]]/mlb_payrolls[[#This Row],[Games]], "")</f>
        <v>0.39506172839506171</v>
      </c>
    </row>
    <row r="364" spans="1:4" x14ac:dyDescent="0.3">
      <c r="A364" t="s">
        <v>54</v>
      </c>
      <c r="B364">
        <v>2017</v>
      </c>
      <c r="C364" s="1">
        <v>188406809</v>
      </c>
      <c r="D364" s="2">
        <f>IF(mlb_payrolls[[#This Row],[Games]] &gt;0, mlb_payrolls[[#This Row],[Wins]]/mlb_payrolls[[#This Row],[Games]], "")</f>
        <v>0.39506172839506171</v>
      </c>
    </row>
    <row r="365" spans="1:4" x14ac:dyDescent="0.3">
      <c r="A365" t="s">
        <v>48</v>
      </c>
      <c r="B365">
        <v>2024</v>
      </c>
      <c r="C365" s="1">
        <v>188537445</v>
      </c>
      <c r="D365" s="2">
        <f>IF(mlb_payrolls[[#This Row],[Games]] &gt;0, mlb_payrolls[[#This Row],[Wins]]/mlb_payrolls[[#This Row],[Games]], "")</f>
        <v>0.5</v>
      </c>
    </row>
    <row r="366" spans="1:4" x14ac:dyDescent="0.3">
      <c r="A366" t="s">
        <v>62</v>
      </c>
      <c r="B366">
        <v>2023</v>
      </c>
      <c r="C366" s="1">
        <v>189409358</v>
      </c>
      <c r="D366" s="2">
        <f>IF(mlb_payrolls[[#This Row],[Games]] &gt;0, mlb_payrolls[[#This Row],[Wins]]/mlb_payrolls[[#This Row],[Games]], "")</f>
        <v>0.51234567901234573</v>
      </c>
    </row>
    <row r="367" spans="1:4" x14ac:dyDescent="0.3">
      <c r="A367" t="s">
        <v>56</v>
      </c>
      <c r="B367">
        <v>2021</v>
      </c>
      <c r="C367" s="1">
        <v>190513223</v>
      </c>
      <c r="D367" s="2">
        <f>IF(mlb_payrolls[[#This Row],[Games]] &gt;0, mlb_payrolls[[#This Row],[Wins]]/mlb_payrolls[[#This Row],[Games]], "")</f>
        <v>0.50617283950617287</v>
      </c>
    </row>
    <row r="368" spans="1:4" x14ac:dyDescent="0.3">
      <c r="A368" t="s">
        <v>66</v>
      </c>
      <c r="B368">
        <v>2021</v>
      </c>
      <c r="C368" s="1">
        <v>194222042</v>
      </c>
      <c r="D368" s="2">
        <f>IF(mlb_payrolls[[#This Row],[Games]] &gt;0, mlb_payrolls[[#This Row],[Wins]]/mlb_payrolls[[#This Row],[Games]], "")</f>
        <v>0.5864197530864198</v>
      </c>
    </row>
    <row r="369" spans="1:4" x14ac:dyDescent="0.3">
      <c r="A369" t="s">
        <v>62</v>
      </c>
      <c r="B369">
        <v>2018</v>
      </c>
      <c r="C369" s="1">
        <v>194259933</v>
      </c>
      <c r="D369" s="2">
        <f>IF(mlb_payrolls[[#This Row],[Games]] &gt;0, mlb_payrolls[[#This Row],[Wins]]/mlb_payrolls[[#This Row],[Games]], "")</f>
        <v>0.58282208588957052</v>
      </c>
    </row>
    <row r="370" spans="1:4" x14ac:dyDescent="0.3">
      <c r="A370" t="s">
        <v>52</v>
      </c>
      <c r="B370">
        <v>2018</v>
      </c>
      <c r="C370" s="1">
        <v>199582045</v>
      </c>
      <c r="D370" s="2">
        <f>IF(mlb_payrolls[[#This Row],[Games]] &gt;0, mlb_payrolls[[#This Row],[Wins]]/mlb_payrolls[[#This Row],[Games]], "")</f>
        <v>0.56441717791411039</v>
      </c>
    </row>
    <row r="371" spans="1:4" x14ac:dyDescent="0.3">
      <c r="A371" t="s">
        <v>20</v>
      </c>
      <c r="B371">
        <v>2016</v>
      </c>
      <c r="C371" s="1">
        <v>200179285</v>
      </c>
      <c r="D371" s="2">
        <f>IF(mlb_payrolls[[#This Row],[Games]] &gt;0, mlb_payrolls[[#This Row],[Wins]]/mlb_payrolls[[#This Row],[Games]], "")</f>
        <v>0.53416149068322982</v>
      </c>
    </row>
    <row r="372" spans="1:4" x14ac:dyDescent="0.3">
      <c r="A372" t="s">
        <v>74</v>
      </c>
      <c r="B372">
        <v>2021</v>
      </c>
      <c r="C372" s="1">
        <v>201189189</v>
      </c>
      <c r="D372" s="2">
        <f>IF(mlb_payrolls[[#This Row],[Games]] &gt;0, mlb_payrolls[[#This Row],[Wins]]/mlb_payrolls[[#This Row],[Games]], "")</f>
        <v>0.47530864197530864</v>
      </c>
    </row>
    <row r="373" spans="1:4" x14ac:dyDescent="0.3">
      <c r="A373" t="s">
        <v>54</v>
      </c>
      <c r="B373">
        <v>2024</v>
      </c>
      <c r="C373" s="1">
        <v>201967381</v>
      </c>
      <c r="D373" s="2">
        <f>IF(mlb_payrolls[[#This Row],[Games]] &gt;0, mlb_payrolls[[#This Row],[Wins]]/mlb_payrolls[[#This Row],[Games]], "")</f>
        <v>0.49382716049382713</v>
      </c>
    </row>
    <row r="374" spans="1:4" x14ac:dyDescent="0.3">
      <c r="A374" t="s">
        <v>70</v>
      </c>
      <c r="B374">
        <v>2022</v>
      </c>
      <c r="C374" s="1">
        <v>203205326</v>
      </c>
      <c r="D374" s="2">
        <f>IF(mlb_payrolls[[#This Row],[Games]] &gt;0, mlb_payrolls[[#This Row],[Wins]]/mlb_payrolls[[#This Row],[Games]], "")</f>
        <v>0.5</v>
      </c>
    </row>
    <row r="375" spans="1:4" x14ac:dyDescent="0.3">
      <c r="A375" t="s">
        <v>72</v>
      </c>
      <c r="B375">
        <v>2021</v>
      </c>
      <c r="C375" s="1">
        <v>203311013</v>
      </c>
      <c r="D375" s="2">
        <f>IF(mlb_payrolls[[#This Row],[Games]] &gt;0, mlb_payrolls[[#This Row],[Wins]]/mlb_payrolls[[#This Row],[Games]], "")</f>
        <v>0.5679012345679012</v>
      </c>
    </row>
    <row r="376" spans="1:4" x14ac:dyDescent="0.3">
      <c r="A376" t="s">
        <v>58</v>
      </c>
      <c r="B376">
        <v>2023</v>
      </c>
      <c r="C376" s="1">
        <v>204689131</v>
      </c>
      <c r="D376" s="2">
        <f>IF(mlb_payrolls[[#This Row],[Games]] &gt;0, mlb_payrolls[[#This Row],[Wins]]/mlb_payrolls[[#This Row],[Games]], "")</f>
        <v>0.64197530864197527</v>
      </c>
    </row>
    <row r="377" spans="1:4" x14ac:dyDescent="0.3">
      <c r="A377" t="s">
        <v>54</v>
      </c>
      <c r="B377">
        <v>2018</v>
      </c>
      <c r="C377" s="1">
        <v>205665348</v>
      </c>
      <c r="D377" s="2">
        <f>IF(mlb_payrolls[[#This Row],[Games]] &gt;0, mlb_payrolls[[#This Row],[Wins]]/mlb_payrolls[[#This Row],[Games]], "")</f>
        <v>0.45061728395061729</v>
      </c>
    </row>
    <row r="378" spans="1:4" x14ac:dyDescent="0.3">
      <c r="A378" t="s">
        <v>52</v>
      </c>
      <c r="B378">
        <v>2019</v>
      </c>
      <c r="C378" s="1">
        <v>207000814</v>
      </c>
      <c r="D378" s="2">
        <f>IF(mlb_payrolls[[#This Row],[Games]] &gt;0, mlb_payrolls[[#This Row],[Wins]]/mlb_payrolls[[#This Row],[Games]], "")</f>
        <v>0.65432098765432101</v>
      </c>
    </row>
    <row r="379" spans="1:4" x14ac:dyDescent="0.3">
      <c r="A379" t="s">
        <v>48</v>
      </c>
      <c r="B379">
        <v>2016</v>
      </c>
      <c r="C379" s="1">
        <v>207758836</v>
      </c>
      <c r="D379" s="2">
        <f>IF(mlb_payrolls[[#This Row],[Games]] &gt;0, mlb_payrolls[[#This Row],[Wins]]/mlb_payrolls[[#This Row],[Games]], "")</f>
        <v>0.57407407407407407</v>
      </c>
    </row>
    <row r="380" spans="1:4" x14ac:dyDescent="0.3">
      <c r="A380" t="s">
        <v>72</v>
      </c>
      <c r="B380">
        <v>2017</v>
      </c>
      <c r="C380" s="1">
        <v>209044502</v>
      </c>
      <c r="D380" s="2">
        <f>IF(mlb_payrolls[[#This Row],[Games]] &gt;0, mlb_payrolls[[#This Row],[Wins]]/mlb_payrolls[[#This Row],[Games]], "")</f>
        <v>0.56172839506172845</v>
      </c>
    </row>
    <row r="381" spans="1:4" x14ac:dyDescent="0.3">
      <c r="A381" t="s">
        <v>48</v>
      </c>
      <c r="B381">
        <v>2017</v>
      </c>
      <c r="C381" s="1">
        <v>209872508</v>
      </c>
      <c r="D381" s="2">
        <f>IF(mlb_payrolls[[#This Row],[Games]] &gt;0, mlb_payrolls[[#This Row],[Wins]]/mlb_payrolls[[#This Row],[Games]], "")</f>
        <v>0.57407407407407407</v>
      </c>
    </row>
    <row r="382" spans="1:4" x14ac:dyDescent="0.3">
      <c r="A382" t="s">
        <v>72</v>
      </c>
      <c r="B382">
        <v>2011</v>
      </c>
      <c r="C382" s="1">
        <v>210950685</v>
      </c>
      <c r="D382" s="2">
        <f>IF(mlb_payrolls[[#This Row],[Games]] &gt;0, mlb_payrolls[[#This Row],[Wins]]/mlb_payrolls[[#This Row],[Games]], "")</f>
        <v>0.59876543209876543</v>
      </c>
    </row>
    <row r="383" spans="1:4" x14ac:dyDescent="0.3">
      <c r="A383" t="s">
        <v>48</v>
      </c>
      <c r="B383">
        <v>2022</v>
      </c>
      <c r="C383" s="1">
        <v>211812131</v>
      </c>
      <c r="D383" s="2">
        <f>IF(mlb_payrolls[[#This Row],[Games]] &gt;0, mlb_payrolls[[#This Row],[Wins]]/mlb_payrolls[[#This Row],[Games]], "")</f>
        <v>0.48148148148148145</v>
      </c>
    </row>
    <row r="384" spans="1:4" x14ac:dyDescent="0.3">
      <c r="A384" t="s">
        <v>72</v>
      </c>
      <c r="B384">
        <v>2014</v>
      </c>
      <c r="C384" s="1">
        <v>212512317</v>
      </c>
      <c r="D384" s="2">
        <f>IF(mlb_payrolls[[#This Row],[Games]] &gt;0, mlb_payrolls[[#This Row],[Wins]]/mlb_payrolls[[#This Row],[Games]], "")</f>
        <v>0.51851851851851849</v>
      </c>
    </row>
    <row r="385" spans="1:4" x14ac:dyDescent="0.3">
      <c r="A385" t="s">
        <v>68</v>
      </c>
      <c r="B385">
        <v>2023</v>
      </c>
      <c r="C385" s="1">
        <v>214630885</v>
      </c>
      <c r="D385" s="2">
        <f>IF(mlb_payrolls[[#This Row],[Games]] &gt;0, mlb_payrolls[[#This Row],[Wins]]/mlb_payrolls[[#This Row],[Games]], "")</f>
        <v>0.54938271604938271</v>
      </c>
    </row>
    <row r="386" spans="1:4" x14ac:dyDescent="0.3">
      <c r="A386" t="s">
        <v>68</v>
      </c>
      <c r="B386">
        <v>2024</v>
      </c>
      <c r="C386" s="1">
        <v>218402819</v>
      </c>
      <c r="D386" s="2">
        <f>IF(mlb_payrolls[[#This Row],[Games]] &gt;0, mlb_payrolls[[#This Row],[Wins]]/mlb_payrolls[[#This Row],[Games]], "")</f>
        <v>0.4567901234567901</v>
      </c>
    </row>
    <row r="387" spans="1:4" x14ac:dyDescent="0.3">
      <c r="A387" t="s">
        <v>72</v>
      </c>
      <c r="B387">
        <v>2016</v>
      </c>
      <c r="C387" s="1">
        <v>220743376</v>
      </c>
      <c r="D387" s="2">
        <f>IF(mlb_payrolls[[#This Row],[Games]] &gt;0, mlb_payrolls[[#This Row],[Wins]]/mlb_payrolls[[#This Row],[Games]], "")</f>
        <v>0.51851851851851849</v>
      </c>
    </row>
    <row r="388" spans="1:4" x14ac:dyDescent="0.3">
      <c r="A388" t="s">
        <v>72</v>
      </c>
      <c r="B388">
        <v>2015</v>
      </c>
      <c r="C388" s="1">
        <v>221242659</v>
      </c>
      <c r="D388" s="2">
        <f>IF(mlb_payrolls[[#This Row],[Games]] &gt;0, mlb_payrolls[[#This Row],[Wins]]/mlb_payrolls[[#This Row],[Games]], "")</f>
        <v>0.53703703703703709</v>
      </c>
    </row>
    <row r="389" spans="1:4" x14ac:dyDescent="0.3">
      <c r="A389" t="s">
        <v>62</v>
      </c>
      <c r="B389">
        <v>2019</v>
      </c>
      <c r="C389" s="1">
        <v>221580085</v>
      </c>
      <c r="D389" s="2">
        <f>IF(mlb_payrolls[[#This Row],[Games]] &gt;0, mlb_payrolls[[#This Row],[Wins]]/mlb_payrolls[[#This Row],[Games]], "")</f>
        <v>0.51851851851851849</v>
      </c>
    </row>
    <row r="390" spans="1:4" x14ac:dyDescent="0.3">
      <c r="A390" t="s">
        <v>72</v>
      </c>
      <c r="B390">
        <v>2019</v>
      </c>
      <c r="C390" s="1">
        <v>223019037</v>
      </c>
      <c r="D390" s="2">
        <f>IF(mlb_payrolls[[#This Row],[Games]] &gt;0, mlb_payrolls[[#This Row],[Wins]]/mlb_payrolls[[#This Row],[Games]], "")</f>
        <v>0.63580246913580252</v>
      </c>
    </row>
    <row r="391" spans="1:4" x14ac:dyDescent="0.3">
      <c r="A391" t="s">
        <v>42</v>
      </c>
      <c r="B391">
        <v>2022</v>
      </c>
      <c r="C391" s="1">
        <v>224511694</v>
      </c>
      <c r="D391" s="2">
        <f>IF(mlb_payrolls[[#This Row],[Games]] &gt;0, mlb_payrolls[[#This Row],[Wins]]/mlb_payrolls[[#This Row],[Games]], "")</f>
        <v>0.54938271604938271</v>
      </c>
    </row>
    <row r="392" spans="1:4" x14ac:dyDescent="0.3">
      <c r="A392" t="s">
        <v>64</v>
      </c>
      <c r="B392">
        <v>2024</v>
      </c>
      <c r="C392" s="1">
        <v>225545408</v>
      </c>
      <c r="D392" s="2">
        <f>IF(mlb_payrolls[[#This Row],[Games]] &gt;0, mlb_payrolls[[#This Row],[Wins]]/mlb_payrolls[[#This Row],[Games]], "")</f>
        <v>0.48148148148148145</v>
      </c>
    </row>
    <row r="393" spans="1:4" x14ac:dyDescent="0.3">
      <c r="A393" t="s">
        <v>72</v>
      </c>
      <c r="B393">
        <v>2012</v>
      </c>
      <c r="C393" s="1">
        <v>225589742</v>
      </c>
      <c r="D393" s="2">
        <f>IF(mlb_payrolls[[#This Row],[Games]] &gt;0, mlb_payrolls[[#This Row],[Wins]]/mlb_payrolls[[#This Row],[Games]], "")</f>
        <v>0.5864197530864198</v>
      </c>
    </row>
    <row r="394" spans="1:4" x14ac:dyDescent="0.3">
      <c r="A394" t="s">
        <v>48</v>
      </c>
      <c r="B394">
        <v>2018</v>
      </c>
      <c r="C394" s="1">
        <v>227398860</v>
      </c>
      <c r="D394" s="2">
        <f>IF(mlb_payrolls[[#This Row],[Games]] &gt;0, mlb_payrolls[[#This Row],[Wins]]/mlb_payrolls[[#This Row],[Games]], "")</f>
        <v>0.66666666666666663</v>
      </c>
    </row>
    <row r="395" spans="1:4" x14ac:dyDescent="0.3">
      <c r="A395" t="s">
        <v>60</v>
      </c>
      <c r="B395">
        <v>2023</v>
      </c>
      <c r="C395" s="1">
        <v>227884276</v>
      </c>
      <c r="D395" s="2">
        <f>IF(mlb_payrolls[[#This Row],[Games]] &gt;0, mlb_payrolls[[#This Row],[Wins]]/mlb_payrolls[[#This Row],[Games]], "")</f>
        <v>0.45061728395061729</v>
      </c>
    </row>
    <row r="396" spans="1:4" x14ac:dyDescent="0.3">
      <c r="A396" t="s">
        <v>48</v>
      </c>
      <c r="B396">
        <v>2019</v>
      </c>
      <c r="C396" s="1">
        <v>229166880</v>
      </c>
      <c r="D396" s="2">
        <f>IF(mlb_payrolls[[#This Row],[Games]] &gt;0, mlb_payrolls[[#This Row],[Wins]]/mlb_payrolls[[#This Row],[Games]], "")</f>
        <v>0.51851851851851849</v>
      </c>
    </row>
    <row r="397" spans="1:4" x14ac:dyDescent="0.3">
      <c r="A397" t="s">
        <v>62</v>
      </c>
      <c r="B397">
        <v>2024</v>
      </c>
      <c r="C397" s="1">
        <v>229567975</v>
      </c>
      <c r="D397" s="2">
        <f>IF(mlb_payrolls[[#This Row],[Games]] &gt;0, mlb_payrolls[[#This Row],[Wins]]/mlb_payrolls[[#This Row],[Games]], "")</f>
        <v>0.51234567901234573</v>
      </c>
    </row>
    <row r="398" spans="1:4" x14ac:dyDescent="0.3">
      <c r="A398" t="s">
        <v>72</v>
      </c>
      <c r="B398">
        <v>2013</v>
      </c>
      <c r="C398" s="1">
        <v>234518126</v>
      </c>
      <c r="D398" s="2">
        <f>IF(mlb_payrolls[[#This Row],[Games]] &gt;0, mlb_payrolls[[#This Row],[Wins]]/mlb_payrolls[[#This Row],[Games]], "")</f>
        <v>0.52469135802469136</v>
      </c>
    </row>
    <row r="399" spans="1:4" x14ac:dyDescent="0.3">
      <c r="A399" t="s">
        <v>58</v>
      </c>
      <c r="B399">
        <v>2024</v>
      </c>
      <c r="C399" s="1">
        <v>236433901</v>
      </c>
      <c r="D399" s="2">
        <f>IF(mlb_payrolls[[#This Row],[Games]] &gt;0, mlb_payrolls[[#This Row],[Wins]]/mlb_payrolls[[#This Row],[Games]], "")</f>
        <v>0.54938271604938271</v>
      </c>
    </row>
    <row r="400" spans="1:4" x14ac:dyDescent="0.3">
      <c r="A400" t="s">
        <v>52</v>
      </c>
      <c r="B400">
        <v>2013</v>
      </c>
      <c r="C400" s="1">
        <v>236694375</v>
      </c>
      <c r="D400" s="2">
        <f>IF(mlb_payrolls[[#This Row],[Games]] &gt;0, mlb_payrolls[[#This Row],[Wins]]/mlb_payrolls[[#This Row],[Games]], "")</f>
        <v>0.5679012345679012</v>
      </c>
    </row>
    <row r="401" spans="1:4" x14ac:dyDescent="0.3">
      <c r="A401" t="s">
        <v>66</v>
      </c>
      <c r="B401">
        <v>2023</v>
      </c>
      <c r="C401" s="1">
        <v>237107748</v>
      </c>
      <c r="D401" s="2">
        <f>IF(mlb_payrolls[[#This Row],[Games]] &gt;0, mlb_payrolls[[#This Row],[Wins]]/mlb_payrolls[[#This Row],[Games]], "")</f>
        <v>0.55555555555555558</v>
      </c>
    </row>
    <row r="402" spans="1:4" x14ac:dyDescent="0.3">
      <c r="A402" t="s">
        <v>52</v>
      </c>
      <c r="B402">
        <v>2024</v>
      </c>
      <c r="C402" s="1">
        <v>240240117</v>
      </c>
      <c r="D402" s="2">
        <f>IF(mlb_payrolls[[#This Row],[Games]] &gt;0, mlb_payrolls[[#This Row],[Wins]]/mlb_payrolls[[#This Row],[Games]], "")</f>
        <v>0.60493827160493829</v>
      </c>
    </row>
    <row r="403" spans="1:4" x14ac:dyDescent="0.3">
      <c r="A403" t="s">
        <v>52</v>
      </c>
      <c r="B403">
        <v>2023</v>
      </c>
      <c r="C403" s="1">
        <v>240278296</v>
      </c>
      <c r="D403" s="2">
        <f>IF(mlb_payrolls[[#This Row],[Games]] &gt;0, mlb_payrolls[[#This Row],[Wins]]/mlb_payrolls[[#This Row],[Games]], "")</f>
        <v>0.61728395061728392</v>
      </c>
    </row>
    <row r="404" spans="1:4" x14ac:dyDescent="0.3">
      <c r="A404" t="s">
        <v>52</v>
      </c>
      <c r="B404">
        <v>2014</v>
      </c>
      <c r="C404" s="1">
        <v>241557818</v>
      </c>
      <c r="D404" s="2">
        <f>IF(mlb_payrolls[[#This Row],[Games]] &gt;0, mlb_payrolls[[#This Row],[Wins]]/mlb_payrolls[[#This Row],[Games]], "")</f>
        <v>0.58024691358024694</v>
      </c>
    </row>
    <row r="405" spans="1:4" x14ac:dyDescent="0.3">
      <c r="A405" t="s">
        <v>56</v>
      </c>
      <c r="B405">
        <v>2022</v>
      </c>
      <c r="C405" s="1">
        <v>244484097</v>
      </c>
      <c r="D405" s="2">
        <f>IF(mlb_payrolls[[#This Row],[Games]] &gt;0, mlb_payrolls[[#This Row],[Wins]]/mlb_payrolls[[#This Row],[Games]], "")</f>
        <v>0.53703703703703709</v>
      </c>
    </row>
    <row r="406" spans="1:4" x14ac:dyDescent="0.3">
      <c r="A406" t="s">
        <v>56</v>
      </c>
      <c r="B406">
        <v>2023</v>
      </c>
      <c r="C406" s="1">
        <v>245419295</v>
      </c>
      <c r="D406" s="2">
        <f>IF(mlb_payrolls[[#This Row],[Games]] &gt;0, mlb_payrolls[[#This Row],[Wins]]/mlb_payrolls[[#This Row],[Games]], "")</f>
        <v>0.55555555555555558</v>
      </c>
    </row>
    <row r="407" spans="1:4" x14ac:dyDescent="0.3">
      <c r="A407" t="s">
        <v>56</v>
      </c>
      <c r="B407">
        <v>2024</v>
      </c>
      <c r="C407" s="1">
        <v>246299605</v>
      </c>
      <c r="D407" s="2">
        <f>IF(mlb_payrolls[[#This Row],[Games]] &gt;0, mlb_payrolls[[#This Row],[Wins]]/mlb_payrolls[[#This Row],[Games]], "")</f>
        <v>0.5864197530864198</v>
      </c>
    </row>
    <row r="408" spans="1:4" x14ac:dyDescent="0.3">
      <c r="A408" t="s">
        <v>64</v>
      </c>
      <c r="B408">
        <v>2023</v>
      </c>
      <c r="C408" s="1">
        <v>251332754</v>
      </c>
      <c r="D408" s="2">
        <f>IF(mlb_payrolls[[#This Row],[Games]] &gt;0, mlb_payrolls[[#This Row],[Wins]]/mlb_payrolls[[#This Row],[Games]], "")</f>
        <v>0.55555555555555558</v>
      </c>
    </row>
    <row r="409" spans="1:4" x14ac:dyDescent="0.3">
      <c r="A409" t="s">
        <v>72</v>
      </c>
      <c r="B409">
        <v>2022</v>
      </c>
      <c r="C409" s="1">
        <v>252957200</v>
      </c>
      <c r="D409" s="2">
        <f>IF(mlb_payrolls[[#This Row],[Games]] &gt;0, mlb_payrolls[[#This Row],[Wins]]/mlb_payrolls[[#This Row],[Games]], "")</f>
        <v>0.61111111111111116</v>
      </c>
    </row>
    <row r="410" spans="1:4" x14ac:dyDescent="0.3">
      <c r="A410" t="s">
        <v>42</v>
      </c>
      <c r="B410">
        <v>2023</v>
      </c>
      <c r="C410" s="1">
        <v>253450531</v>
      </c>
      <c r="D410" s="2">
        <f>IF(mlb_payrolls[[#This Row],[Games]] &gt;0, mlb_payrolls[[#This Row],[Wins]]/mlb_payrolls[[#This Row],[Games]], "")</f>
        <v>0.50617283950617287</v>
      </c>
    </row>
    <row r="411" spans="1:4" x14ac:dyDescent="0.3">
      <c r="A411" t="s">
        <v>66</v>
      </c>
      <c r="B411">
        <v>2024</v>
      </c>
      <c r="C411" s="1">
        <v>255271371</v>
      </c>
      <c r="D411" s="2">
        <f>IF(mlb_payrolls[[#This Row],[Games]] &gt;0, mlb_payrolls[[#This Row],[Wins]]/mlb_payrolls[[#This Row],[Games]], "")</f>
        <v>0.54658385093167705</v>
      </c>
    </row>
    <row r="412" spans="1:4" x14ac:dyDescent="0.3">
      <c r="A412" t="s">
        <v>52</v>
      </c>
      <c r="B412">
        <v>2017</v>
      </c>
      <c r="C412" s="1">
        <v>259311393</v>
      </c>
      <c r="D412" s="2">
        <f>IF(mlb_payrolls[[#This Row],[Games]] &gt;0, mlb_payrolls[[#This Row],[Wins]]/mlb_payrolls[[#This Row],[Games]], "")</f>
        <v>0.64197530864197527</v>
      </c>
    </row>
    <row r="413" spans="1:4" x14ac:dyDescent="0.3">
      <c r="A413" t="s">
        <v>74</v>
      </c>
      <c r="B413">
        <v>2022</v>
      </c>
      <c r="C413" s="1">
        <v>264342506</v>
      </c>
      <c r="D413" s="2">
        <f>IF(mlb_payrolls[[#This Row],[Games]] &gt;0, mlb_payrolls[[#This Row],[Wins]]/mlb_payrolls[[#This Row],[Games]], "")</f>
        <v>0.62345679012345678</v>
      </c>
    </row>
    <row r="414" spans="1:4" x14ac:dyDescent="0.3">
      <c r="A414" t="s">
        <v>52</v>
      </c>
      <c r="B414">
        <v>2016</v>
      </c>
      <c r="C414" s="1">
        <v>264470494</v>
      </c>
      <c r="D414" s="2">
        <f>IF(mlb_payrolls[[#This Row],[Games]] &gt;0, mlb_payrolls[[#This Row],[Wins]]/mlb_payrolls[[#This Row],[Games]], "")</f>
        <v>0.56172839506172845</v>
      </c>
    </row>
    <row r="415" spans="1:4" x14ac:dyDescent="0.3">
      <c r="A415" t="s">
        <v>52</v>
      </c>
      <c r="B415">
        <v>2021</v>
      </c>
      <c r="C415" s="1">
        <v>265343390</v>
      </c>
      <c r="D415" s="2">
        <f>IF(mlb_payrolls[[#This Row],[Games]] &gt;0, mlb_payrolls[[#This Row],[Wins]]/mlb_payrolls[[#This Row],[Games]], "")</f>
        <v>0.65432098765432101</v>
      </c>
    </row>
    <row r="416" spans="1:4" x14ac:dyDescent="0.3">
      <c r="A416" t="s">
        <v>52</v>
      </c>
      <c r="B416">
        <v>2022</v>
      </c>
      <c r="C416" s="1">
        <v>270381426</v>
      </c>
      <c r="D416" s="2">
        <f>IF(mlb_payrolls[[#This Row],[Games]] &gt;0, mlb_payrolls[[#This Row],[Wins]]/mlb_payrolls[[#This Row],[Games]], "")</f>
        <v>0.68518518518518523</v>
      </c>
    </row>
    <row r="417" spans="1:4" x14ac:dyDescent="0.3">
      <c r="A417" t="s">
        <v>72</v>
      </c>
      <c r="B417">
        <v>2023</v>
      </c>
      <c r="C417" s="1">
        <v>278651150</v>
      </c>
      <c r="D417" s="2">
        <f>IF(mlb_payrolls[[#This Row],[Games]] &gt;0, mlb_payrolls[[#This Row],[Wins]]/mlb_payrolls[[#This Row],[Games]], "")</f>
        <v>0.50617283950617287</v>
      </c>
    </row>
    <row r="418" spans="1:4" x14ac:dyDescent="0.3">
      <c r="A418" t="s">
        <v>52</v>
      </c>
      <c r="B418">
        <v>2015</v>
      </c>
      <c r="C418" s="1">
        <v>301735080</v>
      </c>
      <c r="D418" s="2">
        <f>IF(mlb_payrolls[[#This Row],[Games]] &gt;0, mlb_payrolls[[#This Row],[Wins]]/mlb_payrolls[[#This Row],[Games]], "")</f>
        <v>0.5679012345679012</v>
      </c>
    </row>
    <row r="419" spans="1:4" x14ac:dyDescent="0.3">
      <c r="A419" t="s">
        <v>72</v>
      </c>
      <c r="B419">
        <v>2024</v>
      </c>
      <c r="C419" s="1">
        <v>308574607</v>
      </c>
      <c r="D419" s="2">
        <f>IF(mlb_payrolls[[#This Row],[Games]] &gt;0, mlb_payrolls[[#This Row],[Wins]]/mlb_payrolls[[#This Row],[Games]], "")</f>
        <v>0.58024691358024694</v>
      </c>
    </row>
    <row r="420" spans="1:4" x14ac:dyDescent="0.3">
      <c r="A420" t="s">
        <v>74</v>
      </c>
      <c r="B420">
        <v>2024</v>
      </c>
      <c r="C420" s="1">
        <v>314748899</v>
      </c>
      <c r="D420" s="2">
        <f>IF(mlb_payrolls[[#This Row],[Games]] &gt;0, mlb_payrolls[[#This Row],[Wins]]/mlb_payrolls[[#This Row],[Games]], "")</f>
        <v>0.54938271604938271</v>
      </c>
    </row>
    <row r="421" spans="1:4" x14ac:dyDescent="0.3">
      <c r="A421" t="s">
        <v>74</v>
      </c>
      <c r="B421">
        <v>2023</v>
      </c>
      <c r="C421" s="1">
        <v>341673777</v>
      </c>
      <c r="D421" s="2">
        <f>IF(mlb_payrolls[[#This Row],[Games]] &gt;0, mlb_payrolls[[#This Row],[Wins]]/mlb_payrolls[[#This Row],[Games]], "")</f>
        <v>0.46296296296296297</v>
      </c>
    </row>
  </sheetData>
  <autoFilter ref="A1:D1" xr:uid="{829D7E5D-297C-4FBF-8E16-DC790507387E}">
    <sortState xmlns:xlrd2="http://schemas.microsoft.com/office/spreadsheetml/2017/richdata2" ref="A2:D421">
      <sortCondition ref="C1"/>
    </sortState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9FDF81-E49A-4826-AEC5-C15FA48415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mlb_payrolls</vt:lpstr>
      <vt:lpstr>Pivots</vt:lpstr>
      <vt:lpstr>Dispersion Scatter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</cp:lastModifiedBy>
  <dcterms:created xsi:type="dcterms:W3CDTF">2015-06-05T18:17:20Z</dcterms:created>
  <dcterms:modified xsi:type="dcterms:W3CDTF">2026-02-24T15:25:51Z</dcterms:modified>
</cp:coreProperties>
</file>